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E\Projects\Inventory-optimisation-dashboard\data\"/>
    </mc:Choice>
  </mc:AlternateContent>
  <xr:revisionPtr revIDLastSave="0" documentId="13_ncr:1_{D9D20B82-FF39-4A46-84E0-10E45D0BA1A8}" xr6:coauthVersionLast="36" xr6:coauthVersionMax="36" xr10:uidLastSave="{00000000-0000-0000-0000-000000000000}"/>
  <bookViews>
    <workbookView xWindow="0" yWindow="0" windowWidth="28800" windowHeight="12105" firstSheet="1" activeTab="1" xr2:uid="{AFBB43EB-4840-4F10-92BE-974124CCCFFB}"/>
  </bookViews>
  <sheets>
    <sheet name="DON'T COPY" sheetId="1" state="hidden" r:id="rId1"/>
    <sheet name="PRODUCTS" sheetId="4" r:id="rId2"/>
    <sheet name="SALES" sheetId="2" r:id="rId3"/>
    <sheet name="INVENTORY" sheetId="3" r:id="rId4"/>
    <sheet name="PURCHASE ORDER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D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G2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 s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 s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 s="1"/>
  <c r="D507" i="1"/>
  <c r="D506" i="1"/>
  <c r="D505" i="1"/>
  <c r="D504" i="1"/>
  <c r="D503" i="1" s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 s="1"/>
  <c r="D474" i="1" s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 s="1"/>
  <c r="D414" i="1" s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 s="1"/>
  <c r="D400" i="1"/>
  <c r="D399" i="1" s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 s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 s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 s="1"/>
  <c r="D299" i="1"/>
  <c r="D298" i="1"/>
  <c r="D297" i="1"/>
  <c r="D296" i="1"/>
  <c r="D295" i="1"/>
  <c r="D294" i="1"/>
  <c r="D293" i="1" s="1"/>
  <c r="D292" i="1"/>
  <c r="D291" i="1"/>
  <c r="D290" i="1"/>
  <c r="D289" i="1"/>
  <c r="D288" i="1"/>
  <c r="D287" i="1"/>
  <c r="D286" i="1"/>
  <c r="D285" i="1" s="1"/>
  <c r="D284" i="1"/>
  <c r="D283" i="1"/>
  <c r="D282" i="1"/>
  <c r="D281" i="1"/>
  <c r="D280" i="1"/>
  <c r="D279" i="1"/>
  <c r="D278" i="1"/>
  <c r="D277" i="1"/>
  <c r="D276" i="1"/>
  <c r="D275" i="1"/>
  <c r="D274" i="1"/>
  <c r="D273" i="1" s="1"/>
  <c r="D272" i="1" s="1"/>
  <c r="D271" i="1" s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 s="1"/>
  <c r="D251" i="1"/>
  <c r="D250" i="1"/>
  <c r="D249" i="1"/>
  <c r="D248" i="1"/>
  <c r="D247" i="1"/>
  <c r="D246" i="1"/>
  <c r="D245" i="1" s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 s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 s="1"/>
  <c r="D184" i="1"/>
  <c r="D183" i="1" s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 s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 s="1"/>
  <c r="D136" i="1"/>
  <c r="D135" i="1"/>
  <c r="D134" i="1"/>
  <c r="D133" i="1"/>
  <c r="D132" i="1"/>
  <c r="D131" i="1"/>
  <c r="D130" i="1"/>
  <c r="D129" i="1"/>
  <c r="D128" i="1"/>
  <c r="D127" i="1" s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 s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 s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 s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 s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 s="1"/>
  <c r="D10" i="1"/>
  <c r="D9" i="1"/>
  <c r="D8" i="1"/>
  <c r="D7" i="1"/>
  <c r="D6" i="1"/>
  <c r="D5" i="1"/>
  <c r="D4" i="1"/>
  <c r="D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</calcChain>
</file>

<file path=xl/sharedStrings.xml><?xml version="1.0" encoding="utf-8"?>
<sst xmlns="http://schemas.openxmlformats.org/spreadsheetml/2006/main" count="5390" uniqueCount="1276">
  <si>
    <t>PRD1001</t>
  </si>
  <si>
    <t>PRD1002</t>
  </si>
  <si>
    <t>PRD1003</t>
  </si>
  <si>
    <t>PRD1004</t>
  </si>
  <si>
    <t>PRD1005</t>
  </si>
  <si>
    <t>PRODUCT</t>
  </si>
  <si>
    <t>PRD1006</t>
  </si>
  <si>
    <t>PRD1007</t>
  </si>
  <si>
    <t>PRD1008</t>
  </si>
  <si>
    <t>PRD1009</t>
  </si>
  <si>
    <t>PRD1010</t>
  </si>
  <si>
    <t>PRD1011</t>
  </si>
  <si>
    <t>PRD1012</t>
  </si>
  <si>
    <t>PRD1013</t>
  </si>
  <si>
    <t>PRD1014</t>
  </si>
  <si>
    <t>PRD1015</t>
  </si>
  <si>
    <t>PRD1016</t>
  </si>
  <si>
    <t>PRD1017</t>
  </si>
  <si>
    <t>PRD1018</t>
  </si>
  <si>
    <t>PRD1019</t>
  </si>
  <si>
    <t>PRD1020</t>
  </si>
  <si>
    <t>PRD1021</t>
  </si>
  <si>
    <t>PRD1022</t>
  </si>
  <si>
    <t>PRD1023</t>
  </si>
  <si>
    <t>PRD1024</t>
  </si>
  <si>
    <t>PRD1025</t>
  </si>
  <si>
    <t>PRD1026</t>
  </si>
  <si>
    <t>PRD1027</t>
  </si>
  <si>
    <t>PRD1028</t>
  </si>
  <si>
    <t>PRD1029</t>
  </si>
  <si>
    <t>PRD1030</t>
  </si>
  <si>
    <t>PRD1031</t>
  </si>
  <si>
    <t>PRD1032</t>
  </si>
  <si>
    <t>PRD1033</t>
  </si>
  <si>
    <t>PRD1034</t>
  </si>
  <si>
    <t>PRD1035</t>
  </si>
  <si>
    <t>PRD1036</t>
  </si>
  <si>
    <t>PRD1037</t>
  </si>
  <si>
    <t>PRD1038</t>
  </si>
  <si>
    <t>PRD1039</t>
  </si>
  <si>
    <t>PRD1040</t>
  </si>
  <si>
    <t>PRD1041</t>
  </si>
  <si>
    <t>PRD1042</t>
  </si>
  <si>
    <t>PRD1043</t>
  </si>
  <si>
    <t>PRD1044</t>
  </si>
  <si>
    <t>PRD1045</t>
  </si>
  <si>
    <t>PRD1046</t>
  </si>
  <si>
    <t>PRD1047</t>
  </si>
  <si>
    <t>PRD1048</t>
  </si>
  <si>
    <t>PRD1049</t>
  </si>
  <si>
    <t>PRD1050</t>
  </si>
  <si>
    <t>PRD1051</t>
  </si>
  <si>
    <t>PRD1052</t>
  </si>
  <si>
    <t>PRD1053</t>
  </si>
  <si>
    <t>PRD1054</t>
  </si>
  <si>
    <t>PRD1055</t>
  </si>
  <si>
    <t>PRD1056</t>
  </si>
  <si>
    <t>PRD1057</t>
  </si>
  <si>
    <t>PRD1058</t>
  </si>
  <si>
    <t>PRD1059</t>
  </si>
  <si>
    <t>PRD1060</t>
  </si>
  <si>
    <t>PRD1061</t>
  </si>
  <si>
    <t>PRD1062</t>
  </si>
  <si>
    <t>PRD1063</t>
  </si>
  <si>
    <t>PRD1064</t>
  </si>
  <si>
    <t>PRD1065</t>
  </si>
  <si>
    <t>PRD1066</t>
  </si>
  <si>
    <t>PRD1067</t>
  </si>
  <si>
    <t>PRD1068</t>
  </si>
  <si>
    <t>PRD1069</t>
  </si>
  <si>
    <t>PRD1070</t>
  </si>
  <si>
    <t>PRD1071</t>
  </si>
  <si>
    <t>PRD1072</t>
  </si>
  <si>
    <t>PRD1073</t>
  </si>
  <si>
    <t>PRD1074</t>
  </si>
  <si>
    <t>PRD1075</t>
  </si>
  <si>
    <t>PRD1076</t>
  </si>
  <si>
    <t>PRD1077</t>
  </si>
  <si>
    <t>PRD1078</t>
  </si>
  <si>
    <t>PRD1079</t>
  </si>
  <si>
    <t>PRD1080</t>
  </si>
  <si>
    <t>PRD1081</t>
  </si>
  <si>
    <t>PRD1082</t>
  </si>
  <si>
    <t>PRD1083</t>
  </si>
  <si>
    <t>PRD1084</t>
  </si>
  <si>
    <t>PRD1085</t>
  </si>
  <si>
    <t>PRD1086</t>
  </si>
  <si>
    <t>PRD1087</t>
  </si>
  <si>
    <t>PRD1088</t>
  </si>
  <si>
    <t>PRD1089</t>
  </si>
  <si>
    <t>PRD1090</t>
  </si>
  <si>
    <t>PRD1091</t>
  </si>
  <si>
    <t>PRD1092</t>
  </si>
  <si>
    <t>PRD1093</t>
  </si>
  <si>
    <t>PRD1094</t>
  </si>
  <si>
    <t>PRD1095</t>
  </si>
  <si>
    <t>PRD1096</t>
  </si>
  <si>
    <t>PRD1097</t>
  </si>
  <si>
    <t>PRD1098</t>
  </si>
  <si>
    <t>PRD1099</t>
  </si>
  <si>
    <t>PRD1100</t>
  </si>
  <si>
    <t>PRD1101</t>
  </si>
  <si>
    <t>PRD1102</t>
  </si>
  <si>
    <t>PRD1103</t>
  </si>
  <si>
    <t>PRD1104</t>
  </si>
  <si>
    <t>PRD1105</t>
  </si>
  <si>
    <t>PRD1106</t>
  </si>
  <si>
    <t>PRD1107</t>
  </si>
  <si>
    <t>PRD1108</t>
  </si>
  <si>
    <t>PRD1109</t>
  </si>
  <si>
    <t>PRD1110</t>
  </si>
  <si>
    <t>PRD1111</t>
  </si>
  <si>
    <t>PRD1112</t>
  </si>
  <si>
    <t>PRD1113</t>
  </si>
  <si>
    <t>PRD1114</t>
  </si>
  <si>
    <t>PRD1115</t>
  </si>
  <si>
    <t>PRD1116</t>
  </si>
  <si>
    <t>PRD1117</t>
  </si>
  <si>
    <t>PRD1118</t>
  </si>
  <si>
    <t>PRD1119</t>
  </si>
  <si>
    <t>PRD1120</t>
  </si>
  <si>
    <t>PRD1121</t>
  </si>
  <si>
    <t>PRD1122</t>
  </si>
  <si>
    <t>PRD1123</t>
  </si>
  <si>
    <t>PRD1124</t>
  </si>
  <si>
    <t>PRD1125</t>
  </si>
  <si>
    <t>PRD1126</t>
  </si>
  <si>
    <t>PRD1127</t>
  </si>
  <si>
    <t>PRD1128</t>
  </si>
  <si>
    <t>PRD1129</t>
  </si>
  <si>
    <t>PRD1130</t>
  </si>
  <si>
    <t>PRD1131</t>
  </si>
  <si>
    <t>PRD1132</t>
  </si>
  <si>
    <t>PRD1133</t>
  </si>
  <si>
    <t>PRD1134</t>
  </si>
  <si>
    <t>PRD1135</t>
  </si>
  <si>
    <t>PRD1136</t>
  </si>
  <si>
    <t>PRD1137</t>
  </si>
  <si>
    <t>PRD1138</t>
  </si>
  <si>
    <t>PRD1139</t>
  </si>
  <si>
    <t>PRD1140</t>
  </si>
  <si>
    <t>PRD1141</t>
  </si>
  <si>
    <t>PRD1142</t>
  </si>
  <si>
    <t>PRD1143</t>
  </si>
  <si>
    <t>PRD1144</t>
  </si>
  <si>
    <t>PRD1145</t>
  </si>
  <si>
    <t>PRD1146</t>
  </si>
  <si>
    <t>PRD1147</t>
  </si>
  <si>
    <t>PRD1148</t>
  </si>
  <si>
    <t>PRD1149</t>
  </si>
  <si>
    <t>PRD1150</t>
  </si>
  <si>
    <t>PRD1151</t>
  </si>
  <si>
    <t>PRD1152</t>
  </si>
  <si>
    <t>PRD1153</t>
  </si>
  <si>
    <t>PRD1154</t>
  </si>
  <si>
    <t>PRD1155</t>
  </si>
  <si>
    <t>PRD1156</t>
  </si>
  <si>
    <t>PRD1157</t>
  </si>
  <si>
    <t>PRD1158</t>
  </si>
  <si>
    <t>PRD1159</t>
  </si>
  <si>
    <t>PRD1160</t>
  </si>
  <si>
    <t>PRD1161</t>
  </si>
  <si>
    <t>PRD1162</t>
  </si>
  <si>
    <t>PRD1163</t>
  </si>
  <si>
    <t>PRD1164</t>
  </si>
  <si>
    <t>PRD1165</t>
  </si>
  <si>
    <t>PRD1166</t>
  </si>
  <si>
    <t>PRD1167</t>
  </si>
  <si>
    <t>PRD1168</t>
  </si>
  <si>
    <t>PRD1169</t>
  </si>
  <si>
    <t>PRD1170</t>
  </si>
  <si>
    <t>PRD1171</t>
  </si>
  <si>
    <t>PRD1172</t>
  </si>
  <si>
    <t>PRD1173</t>
  </si>
  <si>
    <t>PRD1174</t>
  </si>
  <si>
    <t>PRD1175</t>
  </si>
  <si>
    <t>PRD1176</t>
  </si>
  <si>
    <t>PRD1177</t>
  </si>
  <si>
    <t>PRD1178</t>
  </si>
  <si>
    <t>PRD1179</t>
  </si>
  <si>
    <t>PRD1180</t>
  </si>
  <si>
    <t>PRD1181</t>
  </si>
  <si>
    <t>PRD1182</t>
  </si>
  <si>
    <t>PRD1183</t>
  </si>
  <si>
    <t>PRD1184</t>
  </si>
  <si>
    <t>PRD1185</t>
  </si>
  <si>
    <t>PRD1186</t>
  </si>
  <si>
    <t>PRD1187</t>
  </si>
  <si>
    <t>PRD1188</t>
  </si>
  <si>
    <t>PRD1189</t>
  </si>
  <si>
    <t>PRD1190</t>
  </si>
  <si>
    <t>PRD1191</t>
  </si>
  <si>
    <t>PRD1192</t>
  </si>
  <si>
    <t>PRD1193</t>
  </si>
  <si>
    <t>PRD1194</t>
  </si>
  <si>
    <t>PRD1195</t>
  </si>
  <si>
    <t>PRD1196</t>
  </si>
  <si>
    <t>PRD1197</t>
  </si>
  <si>
    <t>PRD1198</t>
  </si>
  <si>
    <t>PRD1199</t>
  </si>
  <si>
    <t>PRD1200</t>
  </si>
  <si>
    <t>PRD1201</t>
  </si>
  <si>
    <t>PRD1202</t>
  </si>
  <si>
    <t>PRD1203</t>
  </si>
  <si>
    <t>PRD1204</t>
  </si>
  <si>
    <t>PRD1205</t>
  </si>
  <si>
    <t>PRD1206</t>
  </si>
  <si>
    <t>PRD1207</t>
  </si>
  <si>
    <t>PRD1208</t>
  </si>
  <si>
    <t>PRD1209</t>
  </si>
  <si>
    <t>PRD1210</t>
  </si>
  <si>
    <t>PRD1211</t>
  </si>
  <si>
    <t>PRD1212</t>
  </si>
  <si>
    <t>PRD1213</t>
  </si>
  <si>
    <t>PRD1214</t>
  </si>
  <si>
    <t>PRD1215</t>
  </si>
  <si>
    <t>PRD1216</t>
  </si>
  <si>
    <t>PRD1217</t>
  </si>
  <si>
    <t>PRD1218</t>
  </si>
  <si>
    <t>PRD1219</t>
  </si>
  <si>
    <t>PRD1220</t>
  </si>
  <si>
    <t>PRD1221</t>
  </si>
  <si>
    <t>PRD1222</t>
  </si>
  <si>
    <t>PRD1223</t>
  </si>
  <si>
    <t>PRD1224</t>
  </si>
  <si>
    <t>PRD1225</t>
  </si>
  <si>
    <t>PRD1226</t>
  </si>
  <si>
    <t>PRD1227</t>
  </si>
  <si>
    <t>PRD1228</t>
  </si>
  <si>
    <t>PRD1229</t>
  </si>
  <si>
    <t>PRD1230</t>
  </si>
  <si>
    <t>PRD1231</t>
  </si>
  <si>
    <t>PRD1232</t>
  </si>
  <si>
    <t>PRD1233</t>
  </si>
  <si>
    <t>PRD1234</t>
  </si>
  <si>
    <t>PRD1235</t>
  </si>
  <si>
    <t>PRD1236</t>
  </si>
  <si>
    <t>PRD1237</t>
  </si>
  <si>
    <t>PRD1238</t>
  </si>
  <si>
    <t>PRD1239</t>
  </si>
  <si>
    <t>PRD1240</t>
  </si>
  <si>
    <t>PRD1241</t>
  </si>
  <si>
    <t>PRD1242</t>
  </si>
  <si>
    <t>PRD1243</t>
  </si>
  <si>
    <t>PRD1244</t>
  </si>
  <si>
    <t>PRD1245</t>
  </si>
  <si>
    <t>PRD1246</t>
  </si>
  <si>
    <t>PRD1247</t>
  </si>
  <si>
    <t>PRD1248</t>
  </si>
  <si>
    <t>PRD1249</t>
  </si>
  <si>
    <t>PRD1250</t>
  </si>
  <si>
    <t>PRD1251</t>
  </si>
  <si>
    <t>PRD1252</t>
  </si>
  <si>
    <t>PRD1253</t>
  </si>
  <si>
    <t>PRD1254</t>
  </si>
  <si>
    <t>PRD1255</t>
  </si>
  <si>
    <t>PRD1256</t>
  </si>
  <si>
    <t>PRD1257</t>
  </si>
  <si>
    <t>PRD1258</t>
  </si>
  <si>
    <t>PRD1259</t>
  </si>
  <si>
    <t>PRD1260</t>
  </si>
  <si>
    <t>PRD1261</t>
  </si>
  <si>
    <t>PRD1262</t>
  </si>
  <si>
    <t>PRD1263</t>
  </si>
  <si>
    <t>PRD1264</t>
  </si>
  <si>
    <t>PRD1265</t>
  </si>
  <si>
    <t>PRD1266</t>
  </si>
  <si>
    <t>PRD1267</t>
  </si>
  <si>
    <t>PRD1268</t>
  </si>
  <si>
    <t>PRD1269</t>
  </si>
  <si>
    <t>PRD1270</t>
  </si>
  <si>
    <t>PRD1271</t>
  </si>
  <si>
    <t>PRD1272</t>
  </si>
  <si>
    <t>PRD1273</t>
  </si>
  <si>
    <t>PRD1274</t>
  </si>
  <si>
    <t>PRD1275</t>
  </si>
  <si>
    <t>PRD1276</t>
  </si>
  <si>
    <t>PRD1277</t>
  </si>
  <si>
    <t>PRD1278</t>
  </si>
  <si>
    <t>PRD1279</t>
  </si>
  <si>
    <t>PRD1280</t>
  </si>
  <si>
    <t>PRD1281</t>
  </si>
  <si>
    <t>PRD1282</t>
  </si>
  <si>
    <t>PRD1283</t>
  </si>
  <si>
    <t>PRD1284</t>
  </si>
  <si>
    <t>PRD1285</t>
  </si>
  <si>
    <t>PRD1286</t>
  </si>
  <si>
    <t>PRD1287</t>
  </si>
  <si>
    <t>PRD1288</t>
  </si>
  <si>
    <t>PRD1289</t>
  </si>
  <si>
    <t>PRD1290</t>
  </si>
  <si>
    <t>PRD1291</t>
  </si>
  <si>
    <t>PRD1292</t>
  </si>
  <si>
    <t>PRD1293</t>
  </si>
  <si>
    <t>PRD1294</t>
  </si>
  <si>
    <t>PRD1295</t>
  </si>
  <si>
    <t>PRD1296</t>
  </si>
  <si>
    <t>PRD1297</t>
  </si>
  <si>
    <t>PRD1298</t>
  </si>
  <si>
    <t>PRD1299</t>
  </si>
  <si>
    <t>PRD1300</t>
  </si>
  <si>
    <t>PRD1301</t>
  </si>
  <si>
    <t>PRD1302</t>
  </si>
  <si>
    <t>PRD1303</t>
  </si>
  <si>
    <t>PRD1304</t>
  </si>
  <si>
    <t>PRD1305</t>
  </si>
  <si>
    <t>PRD1306</t>
  </si>
  <si>
    <t>PRD1307</t>
  </si>
  <si>
    <t>PRD1308</t>
  </si>
  <si>
    <t>PRD1309</t>
  </si>
  <si>
    <t>PRD1310</t>
  </si>
  <si>
    <t>PRD1311</t>
  </si>
  <si>
    <t>PRD1312</t>
  </si>
  <si>
    <t>PRD1313</t>
  </si>
  <si>
    <t>PRD1314</t>
  </si>
  <si>
    <t>PRD1315</t>
  </si>
  <si>
    <t>PRD1316</t>
  </si>
  <si>
    <t>PRD1317</t>
  </si>
  <si>
    <t>PRD1318</t>
  </si>
  <si>
    <t>PRD1319</t>
  </si>
  <si>
    <t>PRD1320</t>
  </si>
  <si>
    <t>PRD1321</t>
  </si>
  <si>
    <t>PRD1322</t>
  </si>
  <si>
    <t>PRD1323</t>
  </si>
  <si>
    <t>PRD1324</t>
  </si>
  <si>
    <t>PRD1325</t>
  </si>
  <si>
    <t>PRD1326</t>
  </si>
  <si>
    <t>PRD1327</t>
  </si>
  <si>
    <t>PRD1328</t>
  </si>
  <si>
    <t>PRD1329</t>
  </si>
  <si>
    <t>PRD1330</t>
  </si>
  <si>
    <t>PRD1331</t>
  </si>
  <si>
    <t>PRD1332</t>
  </si>
  <si>
    <t>PRD1333</t>
  </si>
  <si>
    <t>PRD1334</t>
  </si>
  <si>
    <t>PRD1335</t>
  </si>
  <si>
    <t>PRD1336</t>
  </si>
  <si>
    <t>PRD1337</t>
  </si>
  <si>
    <t>PRD1338</t>
  </si>
  <si>
    <t>PRD1339</t>
  </si>
  <si>
    <t>PRD1340</t>
  </si>
  <si>
    <t>PRD1341</t>
  </si>
  <si>
    <t>PRD1342</t>
  </si>
  <si>
    <t>PRD1343</t>
  </si>
  <si>
    <t>PRD1344</t>
  </si>
  <si>
    <t>PRD1345</t>
  </si>
  <si>
    <t>PRD1346</t>
  </si>
  <si>
    <t>PRD1347</t>
  </si>
  <si>
    <t>PRD1348</t>
  </si>
  <si>
    <t>PRD1349</t>
  </si>
  <si>
    <t>PRD1350</t>
  </si>
  <si>
    <t>PRD1351</t>
  </si>
  <si>
    <t>PRD1352</t>
  </si>
  <si>
    <t>PRD1353</t>
  </si>
  <si>
    <t>PRD1354</t>
  </si>
  <si>
    <t>PRD1355</t>
  </si>
  <si>
    <t>PRD1356</t>
  </si>
  <si>
    <t>PRD1357</t>
  </si>
  <si>
    <t>PRD1358</t>
  </si>
  <si>
    <t>PRD1359</t>
  </si>
  <si>
    <t>PRD1360</t>
  </si>
  <si>
    <t>PRD1361</t>
  </si>
  <si>
    <t>PRD1362</t>
  </si>
  <si>
    <t>PRD1363</t>
  </si>
  <si>
    <t>PRD1364</t>
  </si>
  <si>
    <t>PRD1365</t>
  </si>
  <si>
    <t>PRD1366</t>
  </si>
  <si>
    <t>PRD1367</t>
  </si>
  <si>
    <t>PRD1368</t>
  </si>
  <si>
    <t>PRD1369</t>
  </si>
  <si>
    <t>PRD1370</t>
  </si>
  <si>
    <t>PRD1371</t>
  </si>
  <si>
    <t>PRD1372</t>
  </si>
  <si>
    <t>PRD1373</t>
  </si>
  <si>
    <t>PRD1374</t>
  </si>
  <si>
    <t>PRD1375</t>
  </si>
  <si>
    <t>PRD1376</t>
  </si>
  <si>
    <t>PRD1377</t>
  </si>
  <si>
    <t>PRD1378</t>
  </si>
  <si>
    <t>PRD1379</t>
  </si>
  <si>
    <t>PRD1380</t>
  </si>
  <si>
    <t>PRD1381</t>
  </si>
  <si>
    <t>PRD1382</t>
  </si>
  <si>
    <t>PRD1383</t>
  </si>
  <si>
    <t>PRD1384</t>
  </si>
  <si>
    <t>PRD1385</t>
  </si>
  <si>
    <t>PRD1386</t>
  </si>
  <si>
    <t>PRD1387</t>
  </si>
  <si>
    <t>PRD1388</t>
  </si>
  <si>
    <t>PRD1389</t>
  </si>
  <si>
    <t>PRD1390</t>
  </si>
  <si>
    <t>PRD1391</t>
  </si>
  <si>
    <t>PRD1392</t>
  </si>
  <si>
    <t>PRD1393</t>
  </si>
  <si>
    <t>PRD1394</t>
  </si>
  <si>
    <t>PRD1395</t>
  </si>
  <si>
    <t>PRD1396</t>
  </si>
  <si>
    <t>PRD1397</t>
  </si>
  <si>
    <t>PRD1398</t>
  </si>
  <si>
    <t>PRD1399</t>
  </si>
  <si>
    <t>PRD1400</t>
  </si>
  <si>
    <t>PRD1401</t>
  </si>
  <si>
    <t>PRD1402</t>
  </si>
  <si>
    <t>PRD1403</t>
  </si>
  <si>
    <t>PRD1404</t>
  </si>
  <si>
    <t>PRD1405</t>
  </si>
  <si>
    <t>PRD1406</t>
  </si>
  <si>
    <t>PRD1407</t>
  </si>
  <si>
    <t>PRD1408</t>
  </si>
  <si>
    <t>PRD1409</t>
  </si>
  <si>
    <t>PRD1410</t>
  </si>
  <si>
    <t>PRD1411</t>
  </si>
  <si>
    <t>PRD1412</t>
  </si>
  <si>
    <t>PRD1413</t>
  </si>
  <si>
    <t>PRD1414</t>
  </si>
  <si>
    <t>PRD1415</t>
  </si>
  <si>
    <t>PRD1416</t>
  </si>
  <si>
    <t>PRD1417</t>
  </si>
  <si>
    <t>PRD1418</t>
  </si>
  <si>
    <t>PRD1419</t>
  </si>
  <si>
    <t>PRD1420</t>
  </si>
  <si>
    <t>PRD1421</t>
  </si>
  <si>
    <t>PRD1422</t>
  </si>
  <si>
    <t>PRD1423</t>
  </si>
  <si>
    <t>PRD1424</t>
  </si>
  <si>
    <t>PRD1425</t>
  </si>
  <si>
    <t>PRD1426</t>
  </si>
  <si>
    <t>PRD1427</t>
  </si>
  <si>
    <t>PRD1428</t>
  </si>
  <si>
    <t>PRD1429</t>
  </si>
  <si>
    <t>PRD1430</t>
  </si>
  <si>
    <t>PRD1431</t>
  </si>
  <si>
    <t>PRD1432</t>
  </si>
  <si>
    <t>PRD1433</t>
  </si>
  <si>
    <t>PRD1434</t>
  </si>
  <si>
    <t>PRD1435</t>
  </si>
  <si>
    <t>PRD1436</t>
  </si>
  <si>
    <t>PRD1437</t>
  </si>
  <si>
    <t>PRD1438</t>
  </si>
  <si>
    <t>PRD1439</t>
  </si>
  <si>
    <t>PRD1440</t>
  </si>
  <si>
    <t>PRD1441</t>
  </si>
  <si>
    <t>PRD1442</t>
  </si>
  <si>
    <t>PRD1443</t>
  </si>
  <si>
    <t>PRD1444</t>
  </si>
  <si>
    <t>PRD1445</t>
  </si>
  <si>
    <t>PRD1446</t>
  </si>
  <si>
    <t>PRD1447</t>
  </si>
  <si>
    <t>PRD1448</t>
  </si>
  <si>
    <t>PRD1449</t>
  </si>
  <si>
    <t>PRD1450</t>
  </si>
  <si>
    <t>PRD1451</t>
  </si>
  <si>
    <t>PRD1452</t>
  </si>
  <si>
    <t>PRD1453</t>
  </si>
  <si>
    <t>PRD1454</t>
  </si>
  <si>
    <t>PRD1455</t>
  </si>
  <si>
    <t>PRD1456</t>
  </si>
  <si>
    <t>PRD1457</t>
  </si>
  <si>
    <t>PRD1458</t>
  </si>
  <si>
    <t>PRD1459</t>
  </si>
  <si>
    <t>PRD1460</t>
  </si>
  <si>
    <t>PRD1461</t>
  </si>
  <si>
    <t>PRD1462</t>
  </si>
  <si>
    <t>PRD1463</t>
  </si>
  <si>
    <t>PRD1464</t>
  </si>
  <si>
    <t>PRD1465</t>
  </si>
  <si>
    <t>PRD1466</t>
  </si>
  <si>
    <t>PRD1467</t>
  </si>
  <si>
    <t>PRD1468</t>
  </si>
  <si>
    <t>PRD1469</t>
  </si>
  <si>
    <t>PRD1470</t>
  </si>
  <si>
    <t>PRD1471</t>
  </si>
  <si>
    <t>PRD1472</t>
  </si>
  <si>
    <t>PRD1473</t>
  </si>
  <si>
    <t>PRD1474</t>
  </si>
  <si>
    <t>PRD1475</t>
  </si>
  <si>
    <t>PRD1476</t>
  </si>
  <si>
    <t>PRD1477</t>
  </si>
  <si>
    <t>PRD1478</t>
  </si>
  <si>
    <t>PRD1479</t>
  </si>
  <si>
    <t>PRD1480</t>
  </si>
  <si>
    <t>PRD1481</t>
  </si>
  <si>
    <t>PRD1482</t>
  </si>
  <si>
    <t>PRD1483</t>
  </si>
  <si>
    <t>PRD1484</t>
  </si>
  <si>
    <t>PRD1485</t>
  </si>
  <si>
    <t>PRD1486</t>
  </si>
  <si>
    <t>PRD1487</t>
  </si>
  <si>
    <t>PRD1488</t>
  </si>
  <si>
    <t>PRD1489</t>
  </si>
  <si>
    <t>PRD1490</t>
  </si>
  <si>
    <t>PRD1491</t>
  </si>
  <si>
    <t>PRD1492</t>
  </si>
  <si>
    <t>PRD1493</t>
  </si>
  <si>
    <t>PRD1494</t>
  </si>
  <si>
    <t>PRD1495</t>
  </si>
  <si>
    <t>PRD1496</t>
  </si>
  <si>
    <t>PRD1497</t>
  </si>
  <si>
    <t>PRD1498</t>
  </si>
  <si>
    <t>PRD1499</t>
  </si>
  <si>
    <t>PRD1500</t>
  </si>
  <si>
    <t>PRD1501</t>
  </si>
  <si>
    <t>PRD1502</t>
  </si>
  <si>
    <t>PRD1503</t>
  </si>
  <si>
    <t>PRD1504</t>
  </si>
  <si>
    <t>PRD1505</t>
  </si>
  <si>
    <t>PRD1506</t>
  </si>
  <si>
    <t>PRD1507</t>
  </si>
  <si>
    <t>PRD1508</t>
  </si>
  <si>
    <t>PRD1509</t>
  </si>
  <si>
    <t>PRD1510</t>
  </si>
  <si>
    <t>PRD1511</t>
  </si>
  <si>
    <t>PRD1512</t>
  </si>
  <si>
    <t>PRD1513</t>
  </si>
  <si>
    <t>PRD1514</t>
  </si>
  <si>
    <t>PRD1515</t>
  </si>
  <si>
    <t>PRD1516</t>
  </si>
  <si>
    <t>PRD1517</t>
  </si>
  <si>
    <t>PRD1518</t>
  </si>
  <si>
    <t>PRD1519</t>
  </si>
  <si>
    <t>PRD1520</t>
  </si>
  <si>
    <t>PRD1521</t>
  </si>
  <si>
    <t>PRD1522</t>
  </si>
  <si>
    <t>PRD1523</t>
  </si>
  <si>
    <t>PRD1524</t>
  </si>
  <si>
    <t>PRD1525</t>
  </si>
  <si>
    <t>PRD1526</t>
  </si>
  <si>
    <t>PRD1527</t>
  </si>
  <si>
    <t>PRD1528</t>
  </si>
  <si>
    <t>PRD1529</t>
  </si>
  <si>
    <t>PRD1530</t>
  </si>
  <si>
    <t>PRD1531</t>
  </si>
  <si>
    <t>PRD1532</t>
  </si>
  <si>
    <t>PRD1533</t>
  </si>
  <si>
    <t>PRD1534</t>
  </si>
  <si>
    <t>PRD1535</t>
  </si>
  <si>
    <t>PRD1536</t>
  </si>
  <si>
    <t>PRD1537</t>
  </si>
  <si>
    <t>PRD1538</t>
  </si>
  <si>
    <t>PRD1539</t>
  </si>
  <si>
    <t>PRD1540</t>
  </si>
  <si>
    <t>PRD1541</t>
  </si>
  <si>
    <t>PRD1542</t>
  </si>
  <si>
    <t>PRD1543</t>
  </si>
  <si>
    <t>PRD1544</t>
  </si>
  <si>
    <t>PRD1545</t>
  </si>
  <si>
    <t>PRD1546</t>
  </si>
  <si>
    <t>PRD1547</t>
  </si>
  <si>
    <t>PRD1548</t>
  </si>
  <si>
    <t>PRD1549</t>
  </si>
  <si>
    <t>PRD1550</t>
  </si>
  <si>
    <t>PRD1551</t>
  </si>
  <si>
    <t>PRD1552</t>
  </si>
  <si>
    <t>PRD1553</t>
  </si>
  <si>
    <t>PRD1554</t>
  </si>
  <si>
    <t>PRD1555</t>
  </si>
  <si>
    <t>PRD1556</t>
  </si>
  <si>
    <t>PRD1557</t>
  </si>
  <si>
    <t>PRD1558</t>
  </si>
  <si>
    <t>PRD1559</t>
  </si>
  <si>
    <t>PRD1560</t>
  </si>
  <si>
    <t>PRD1561</t>
  </si>
  <si>
    <t>PRD1562</t>
  </si>
  <si>
    <t>PRD1563</t>
  </si>
  <si>
    <t>PRD1564</t>
  </si>
  <si>
    <t>PRD1565</t>
  </si>
  <si>
    <t>PRD1566</t>
  </si>
  <si>
    <t>PRD1567</t>
  </si>
  <si>
    <t>PRD1568</t>
  </si>
  <si>
    <t>PRD1569</t>
  </si>
  <si>
    <t>PRD1570</t>
  </si>
  <si>
    <t>PRD1571</t>
  </si>
  <si>
    <t>PRD1572</t>
  </si>
  <si>
    <t>PRD1573</t>
  </si>
  <si>
    <t>PRD1574</t>
  </si>
  <si>
    <t>PRD1575</t>
  </si>
  <si>
    <t>PRD1576</t>
  </si>
  <si>
    <t>PRD1577</t>
  </si>
  <si>
    <t>PRD1578</t>
  </si>
  <si>
    <t>PRD1579</t>
  </si>
  <si>
    <t>PRD1580</t>
  </si>
  <si>
    <t>PRD1581</t>
  </si>
  <si>
    <t>PRD1582</t>
  </si>
  <si>
    <t>PRD1583</t>
  </si>
  <si>
    <t>PRD1584</t>
  </si>
  <si>
    <t>PRD1585</t>
  </si>
  <si>
    <t>PRD1586</t>
  </si>
  <si>
    <t>PRD1587</t>
  </si>
  <si>
    <t>PRD1588</t>
  </si>
  <si>
    <t>PRD1589</t>
  </si>
  <si>
    <t>PRD1590</t>
  </si>
  <si>
    <t>PRD1591</t>
  </si>
  <si>
    <t>PRD1592</t>
  </si>
  <si>
    <t>PRD1593</t>
  </si>
  <si>
    <t>PRD1594</t>
  </si>
  <si>
    <t>PRD1595</t>
  </si>
  <si>
    <t>PRD1596</t>
  </si>
  <si>
    <t>PRD1597</t>
  </si>
  <si>
    <t>PRD1598</t>
  </si>
  <si>
    <t>PRD1599</t>
  </si>
  <si>
    <t>PRD1600</t>
  </si>
  <si>
    <t>PRD1601</t>
  </si>
  <si>
    <t>PRD1602</t>
  </si>
  <si>
    <t>PRD1603</t>
  </si>
  <si>
    <t>PRD1604</t>
  </si>
  <si>
    <t>PRD1605</t>
  </si>
  <si>
    <t>PRD1606</t>
  </si>
  <si>
    <t>PRD1607</t>
  </si>
  <si>
    <t>PRD1608</t>
  </si>
  <si>
    <t>PRD1609</t>
  </si>
  <si>
    <t>PRD1610</t>
  </si>
  <si>
    <t>PRD1611</t>
  </si>
  <si>
    <t>PRD1612</t>
  </si>
  <si>
    <t>PRD1613</t>
  </si>
  <si>
    <t>PRD1614</t>
  </si>
  <si>
    <t>PRD1615</t>
  </si>
  <si>
    <t>PRD1616</t>
  </si>
  <si>
    <t>PRD1617</t>
  </si>
  <si>
    <t>PRD1618</t>
  </si>
  <si>
    <t>PRD1619</t>
  </si>
  <si>
    <t>PRD1620</t>
  </si>
  <si>
    <t>PRD1621</t>
  </si>
  <si>
    <t>PRD1622</t>
  </si>
  <si>
    <t>PRD1623</t>
  </si>
  <si>
    <t>PRD1624</t>
  </si>
  <si>
    <t>PRD1625</t>
  </si>
  <si>
    <t>PRD1626</t>
  </si>
  <si>
    <t>PRD1627</t>
  </si>
  <si>
    <t>PRD1628</t>
  </si>
  <si>
    <t>PRD1629</t>
  </si>
  <si>
    <t>PRD1630</t>
  </si>
  <si>
    <t>PRD1631</t>
  </si>
  <si>
    <t>PRD1632</t>
  </si>
  <si>
    <t>PRD1633</t>
  </si>
  <si>
    <t>PRD1634</t>
  </si>
  <si>
    <t>PRD1635</t>
  </si>
  <si>
    <t>PRD1636</t>
  </si>
  <si>
    <t>PRD1637</t>
  </si>
  <si>
    <t>PRD1638</t>
  </si>
  <si>
    <t>PRD1639</t>
  </si>
  <si>
    <t>PRD1640</t>
  </si>
  <si>
    <t>PRD1641</t>
  </si>
  <si>
    <t>PRD1642</t>
  </si>
  <si>
    <t>PRD1643</t>
  </si>
  <si>
    <t>PRD1644</t>
  </si>
  <si>
    <t>PRD1645</t>
  </si>
  <si>
    <t>PRD1646</t>
  </si>
  <si>
    <t>PRD1647</t>
  </si>
  <si>
    <t>PRD1648</t>
  </si>
  <si>
    <t>PRD1649</t>
  </si>
  <si>
    <t>PRD1650</t>
  </si>
  <si>
    <t>PRD1651</t>
  </si>
  <si>
    <t>PRD1652</t>
  </si>
  <si>
    <t>PRD1653</t>
  </si>
  <si>
    <t>PRD1654</t>
  </si>
  <si>
    <t>PRD1655</t>
  </si>
  <si>
    <t>PRD1656</t>
  </si>
  <si>
    <t>PRD1657</t>
  </si>
  <si>
    <t>PRD1658</t>
  </si>
  <si>
    <t>PRD1659</t>
  </si>
  <si>
    <t>PRD1660</t>
  </si>
  <si>
    <t>PRD1661</t>
  </si>
  <si>
    <t>PRD1662</t>
  </si>
  <si>
    <t>PRD1663</t>
  </si>
  <si>
    <t>PRD1664</t>
  </si>
  <si>
    <t>PRD1665</t>
  </si>
  <si>
    <t>PRD1666</t>
  </si>
  <si>
    <t>PRD1667</t>
  </si>
  <si>
    <t>PRD1668</t>
  </si>
  <si>
    <t>PRD1669</t>
  </si>
  <si>
    <t>PRD1670</t>
  </si>
  <si>
    <t>PRD1671</t>
  </si>
  <si>
    <t>PRD1672</t>
  </si>
  <si>
    <t>PRD1673</t>
  </si>
  <si>
    <t>PRD1674</t>
  </si>
  <si>
    <t>PRD1675</t>
  </si>
  <si>
    <t>PRD1676</t>
  </si>
  <si>
    <t>PRD1677</t>
  </si>
  <si>
    <t>PRD1678</t>
  </si>
  <si>
    <t>PRD1679</t>
  </si>
  <si>
    <t>PRD1680</t>
  </si>
  <si>
    <t>PRD1681</t>
  </si>
  <si>
    <t>PRD1682</t>
  </si>
  <si>
    <t>PRD1683</t>
  </si>
  <si>
    <t>PRD1684</t>
  </si>
  <si>
    <t>PRD1685</t>
  </si>
  <si>
    <t>PRD1686</t>
  </si>
  <si>
    <t>PRD1687</t>
  </si>
  <si>
    <t>PRD1688</t>
  </si>
  <si>
    <t>PRD1689</t>
  </si>
  <si>
    <t>PRD1690</t>
  </si>
  <si>
    <t>PRD1691</t>
  </si>
  <si>
    <t>PRD1692</t>
  </si>
  <si>
    <t>PRD1693</t>
  </si>
  <si>
    <t>PRD1694</t>
  </si>
  <si>
    <t>PRD1695</t>
  </si>
  <si>
    <t>PRD1696</t>
  </si>
  <si>
    <t>PRD1697</t>
  </si>
  <si>
    <t>PRD1698</t>
  </si>
  <si>
    <t>PRD1699</t>
  </si>
  <si>
    <t>PRD1700</t>
  </si>
  <si>
    <t>PRD1701</t>
  </si>
  <si>
    <t>PRD1702</t>
  </si>
  <si>
    <t>PRD1703</t>
  </si>
  <si>
    <t>PRD1704</t>
  </si>
  <si>
    <t>PRD1705</t>
  </si>
  <si>
    <t>PRD1706</t>
  </si>
  <si>
    <t>PRD1707</t>
  </si>
  <si>
    <t>PRD1708</t>
  </si>
  <si>
    <t>PRD1709</t>
  </si>
  <si>
    <t>PRD1710</t>
  </si>
  <si>
    <t>PRD1711</t>
  </si>
  <si>
    <t>PRD1712</t>
  </si>
  <si>
    <t>PRD1713</t>
  </si>
  <si>
    <t>PRD1714</t>
  </si>
  <si>
    <t>PRD1715</t>
  </si>
  <si>
    <t>PRD1716</t>
  </si>
  <si>
    <t>PRD1717</t>
  </si>
  <si>
    <t>PRD1718</t>
  </si>
  <si>
    <t>PRD1719</t>
  </si>
  <si>
    <t>PRD1720</t>
  </si>
  <si>
    <t>PRD1721</t>
  </si>
  <si>
    <t>PRD1722</t>
  </si>
  <si>
    <t>PRD1723</t>
  </si>
  <si>
    <t>PRD1724</t>
  </si>
  <si>
    <t>PRD1725</t>
  </si>
  <si>
    <t>PRD1726</t>
  </si>
  <si>
    <t>PRD1727</t>
  </si>
  <si>
    <t>PRD1728</t>
  </si>
  <si>
    <t>PRD1729</t>
  </si>
  <si>
    <t>PRD1730</t>
  </si>
  <si>
    <t>PRD1731</t>
  </si>
  <si>
    <t>PRD1732</t>
  </si>
  <si>
    <t>PRD1733</t>
  </si>
  <si>
    <t>PRD1734</t>
  </si>
  <si>
    <t>PRD1735</t>
  </si>
  <si>
    <t>PRD1736</t>
  </si>
  <si>
    <t>PRD1737</t>
  </si>
  <si>
    <t>PRD1738</t>
  </si>
  <si>
    <t>PRD1739</t>
  </si>
  <si>
    <t>PRD1740</t>
  </si>
  <si>
    <t>PRD1741</t>
  </si>
  <si>
    <t>PRD1742</t>
  </si>
  <si>
    <t>PRD1743</t>
  </si>
  <si>
    <t>PRD1744</t>
  </si>
  <si>
    <t>PRD1745</t>
  </si>
  <si>
    <t>PRD1746</t>
  </si>
  <si>
    <t>PRD1747</t>
  </si>
  <si>
    <t>PRD1748</t>
  </si>
  <si>
    <t>PRD1749</t>
  </si>
  <si>
    <t>PRD1750</t>
  </si>
  <si>
    <t>PRD1751</t>
  </si>
  <si>
    <t>PRD1752</t>
  </si>
  <si>
    <t>PRD1753</t>
  </si>
  <si>
    <t>PRD1754</t>
  </si>
  <si>
    <t>PRD1755</t>
  </si>
  <si>
    <t>PRD1756</t>
  </si>
  <si>
    <t>PRD1757</t>
  </si>
  <si>
    <t>PRD1758</t>
  </si>
  <si>
    <t>PRD1759</t>
  </si>
  <si>
    <t>PRD1760</t>
  </si>
  <si>
    <t>PRD1761</t>
  </si>
  <si>
    <t>PRD1762</t>
  </si>
  <si>
    <t>PRD1763</t>
  </si>
  <si>
    <t>PRD1764</t>
  </si>
  <si>
    <t>PRD1765</t>
  </si>
  <si>
    <t>PRD1766</t>
  </si>
  <si>
    <t>PRD1767</t>
  </si>
  <si>
    <t>PRD1768</t>
  </si>
  <si>
    <t>PRD1769</t>
  </si>
  <si>
    <t>PRD1770</t>
  </si>
  <si>
    <t>PRD1771</t>
  </si>
  <si>
    <t>PRD1772</t>
  </si>
  <si>
    <t>PRD1773</t>
  </si>
  <si>
    <t>PRD1774</t>
  </si>
  <si>
    <t>PRD1775</t>
  </si>
  <si>
    <t>PRD1776</t>
  </si>
  <si>
    <t>PRD1777</t>
  </si>
  <si>
    <t>PRD1778</t>
  </si>
  <si>
    <t>PRD1779</t>
  </si>
  <si>
    <t>PRD1780</t>
  </si>
  <si>
    <t>PRD1781</t>
  </si>
  <si>
    <t>PRD1782</t>
  </si>
  <si>
    <t>PRD1783</t>
  </si>
  <si>
    <t>PRD1784</t>
  </si>
  <si>
    <t>PRD1785</t>
  </si>
  <si>
    <t>PRD1786</t>
  </si>
  <si>
    <t>PRD1787</t>
  </si>
  <si>
    <t>PRD1788</t>
  </si>
  <si>
    <t>PRD1789</t>
  </si>
  <si>
    <t>PRD1790</t>
  </si>
  <si>
    <t>PRD1791</t>
  </si>
  <si>
    <t>PRD1792</t>
  </si>
  <si>
    <t>PRD1793</t>
  </si>
  <si>
    <t>PRD1794</t>
  </si>
  <si>
    <t>PRD1795</t>
  </si>
  <si>
    <t>PRD1796</t>
  </si>
  <si>
    <t>PRD1797</t>
  </si>
  <si>
    <t>PRD1798</t>
  </si>
  <si>
    <t>PRD1799</t>
  </si>
  <si>
    <t>PRD1800</t>
  </si>
  <si>
    <t>PRD1801</t>
  </si>
  <si>
    <t>PRD1802</t>
  </si>
  <si>
    <t>PRD1803</t>
  </si>
  <si>
    <t>PRD1804</t>
  </si>
  <si>
    <t>PRD1805</t>
  </si>
  <si>
    <t>PRD1806</t>
  </si>
  <si>
    <t>PRD1807</t>
  </si>
  <si>
    <t>PRD1808</t>
  </si>
  <si>
    <t>PRD1809</t>
  </si>
  <si>
    <t>PRD1810</t>
  </si>
  <si>
    <t>PRD1811</t>
  </si>
  <si>
    <t>PRD1812</t>
  </si>
  <si>
    <t>PRD1813</t>
  </si>
  <si>
    <t>PRD1814</t>
  </si>
  <si>
    <t>PRD1815</t>
  </si>
  <si>
    <t>PRD1816</t>
  </si>
  <si>
    <t>PRD1817</t>
  </si>
  <si>
    <t>PRD1818</t>
  </si>
  <si>
    <t>PRD1819</t>
  </si>
  <si>
    <t>PRD1820</t>
  </si>
  <si>
    <t>PRD1821</t>
  </si>
  <si>
    <t>PRD1822</t>
  </si>
  <si>
    <t>PRD1823</t>
  </si>
  <si>
    <t>PRD1824</t>
  </si>
  <si>
    <t>PRD1825</t>
  </si>
  <si>
    <t>PRD1826</t>
  </si>
  <si>
    <t>PRD1827</t>
  </si>
  <si>
    <t>PRD1828</t>
  </si>
  <si>
    <t>PRD1829</t>
  </si>
  <si>
    <t>PRD1830</t>
  </si>
  <si>
    <t>PRD1831</t>
  </si>
  <si>
    <t>PRD1832</t>
  </si>
  <si>
    <t>PRD1833</t>
  </si>
  <si>
    <t>PRD1834</t>
  </si>
  <si>
    <t>PRD1835</t>
  </si>
  <si>
    <t>PRD1836</t>
  </si>
  <si>
    <t>PRD1837</t>
  </si>
  <si>
    <t>PRD1838</t>
  </si>
  <si>
    <t>PRD1839</t>
  </si>
  <si>
    <t>PRD1840</t>
  </si>
  <si>
    <t>PRD1841</t>
  </si>
  <si>
    <t>PRD1842</t>
  </si>
  <si>
    <t>PRD1843</t>
  </si>
  <si>
    <t>PRD1844</t>
  </si>
  <si>
    <t>PRD1845</t>
  </si>
  <si>
    <t>PRD1846</t>
  </si>
  <si>
    <t>PRD1847</t>
  </si>
  <si>
    <t>PRD1848</t>
  </si>
  <si>
    <t>PRD1849</t>
  </si>
  <si>
    <t>PRD1850</t>
  </si>
  <si>
    <t>PRD1851</t>
  </si>
  <si>
    <t>PRD1852</t>
  </si>
  <si>
    <t>PRD1853</t>
  </si>
  <si>
    <t>PRD1854</t>
  </si>
  <si>
    <t>PRD1855</t>
  </si>
  <si>
    <t>PRD1856</t>
  </si>
  <si>
    <t>PRD1857</t>
  </si>
  <si>
    <t>PRD1858</t>
  </si>
  <si>
    <t>PRD1859</t>
  </si>
  <si>
    <t>PRD1860</t>
  </si>
  <si>
    <t>PRD1861</t>
  </si>
  <si>
    <t>PRD1862</t>
  </si>
  <si>
    <t>PRD1863</t>
  </si>
  <si>
    <t>PRD1864</t>
  </si>
  <si>
    <t>PRD1865</t>
  </si>
  <si>
    <t>PRD1866</t>
  </si>
  <si>
    <t>PRD1867</t>
  </si>
  <si>
    <t>PRD1868</t>
  </si>
  <si>
    <t>PRD1869</t>
  </si>
  <si>
    <t>PRD1870</t>
  </si>
  <si>
    <t>PRD1871</t>
  </si>
  <si>
    <t>PRD1872</t>
  </si>
  <si>
    <t>PRD1873</t>
  </si>
  <si>
    <t>PRD1874</t>
  </si>
  <si>
    <t>PRD1875</t>
  </si>
  <si>
    <t>PRD1876</t>
  </si>
  <si>
    <t>PRD1877</t>
  </si>
  <si>
    <t>PRD1878</t>
  </si>
  <si>
    <t>PRD1879</t>
  </si>
  <si>
    <t>PRD1880</t>
  </si>
  <si>
    <t>PRD1881</t>
  </si>
  <si>
    <t>PRD1882</t>
  </si>
  <si>
    <t>PRD1883</t>
  </si>
  <si>
    <t>PRD1884</t>
  </si>
  <si>
    <t>PRD1885</t>
  </si>
  <si>
    <t>PRD1886</t>
  </si>
  <si>
    <t>PRD1887</t>
  </si>
  <si>
    <t>PRD1888</t>
  </si>
  <si>
    <t>PRD1889</t>
  </si>
  <si>
    <t>PRD1890</t>
  </si>
  <si>
    <t>PRD1891</t>
  </si>
  <si>
    <t>PRD1892</t>
  </si>
  <si>
    <t>PRD1893</t>
  </si>
  <si>
    <t>PRD1894</t>
  </si>
  <si>
    <t>PRD1895</t>
  </si>
  <si>
    <t>PRD1896</t>
  </si>
  <si>
    <t>PRD1897</t>
  </si>
  <si>
    <t>PRD1898</t>
  </si>
  <si>
    <t>PRD1899</t>
  </si>
  <si>
    <t>PRD1900</t>
  </si>
  <si>
    <t>PRD1901</t>
  </si>
  <si>
    <t>PRD1902</t>
  </si>
  <si>
    <t>PRD1903</t>
  </si>
  <si>
    <t>PRD1904</t>
  </si>
  <si>
    <t>PRD1905</t>
  </si>
  <si>
    <t>PRD1906</t>
  </si>
  <si>
    <t>PRD1907</t>
  </si>
  <si>
    <t>PRD1908</t>
  </si>
  <si>
    <t>PRD1909</t>
  </si>
  <si>
    <t>PRD1910</t>
  </si>
  <si>
    <t>PRD1911</t>
  </si>
  <si>
    <t>PRD1912</t>
  </si>
  <si>
    <t>PRD1913</t>
  </si>
  <si>
    <t>PRD1914</t>
  </si>
  <si>
    <t>PRD1915</t>
  </si>
  <si>
    <t>PRD1916</t>
  </si>
  <si>
    <t>PRD1917</t>
  </si>
  <si>
    <t>PRD1918</t>
  </si>
  <si>
    <t>PRD1919</t>
  </si>
  <si>
    <t>PRD1920</t>
  </si>
  <si>
    <t>PRD1921</t>
  </si>
  <si>
    <t>PRD1922</t>
  </si>
  <si>
    <t>PRD1923</t>
  </si>
  <si>
    <t>PRD1924</t>
  </si>
  <si>
    <t>PRD1925</t>
  </si>
  <si>
    <t>PRD1926</t>
  </si>
  <si>
    <t>PRD1927</t>
  </si>
  <si>
    <t>PRD1928</t>
  </si>
  <si>
    <t>PRD1929</t>
  </si>
  <si>
    <t>PRD1930</t>
  </si>
  <si>
    <t>PRD1931</t>
  </si>
  <si>
    <t>PRD1932</t>
  </si>
  <si>
    <t>PRD1933</t>
  </si>
  <si>
    <t>PRD1934</t>
  </si>
  <si>
    <t>PRD1935</t>
  </si>
  <si>
    <t>PRD1936</t>
  </si>
  <si>
    <t>PRD1937</t>
  </si>
  <si>
    <t>PRD1938</t>
  </si>
  <si>
    <t>PRD1939</t>
  </si>
  <si>
    <t>PRD1940</t>
  </si>
  <si>
    <t>PRD1941</t>
  </si>
  <si>
    <t>PRD1942</t>
  </si>
  <si>
    <t>PRD1943</t>
  </si>
  <si>
    <t>PRD1944</t>
  </si>
  <si>
    <t>PRD1945</t>
  </si>
  <si>
    <t>PRD1946</t>
  </si>
  <si>
    <t>PRD1947</t>
  </si>
  <si>
    <t>PRD1948</t>
  </si>
  <si>
    <t>PRD1949</t>
  </si>
  <si>
    <t>PRD1950</t>
  </si>
  <si>
    <t>PRD1951</t>
  </si>
  <si>
    <t>PRD1952</t>
  </si>
  <si>
    <t>PRD1953</t>
  </si>
  <si>
    <t>PRD1954</t>
  </si>
  <si>
    <t>PRD1955</t>
  </si>
  <si>
    <t>PRD1956</t>
  </si>
  <si>
    <t>PRD1957</t>
  </si>
  <si>
    <t>PRD1958</t>
  </si>
  <si>
    <t>PRD1959</t>
  </si>
  <si>
    <t>PRD1960</t>
  </si>
  <si>
    <t>PRD1961</t>
  </si>
  <si>
    <t>PRD1962</t>
  </si>
  <si>
    <t>PRD1963</t>
  </si>
  <si>
    <t>PRD1964</t>
  </si>
  <si>
    <t>PRD1965</t>
  </si>
  <si>
    <t>PRD1966</t>
  </si>
  <si>
    <t>PRD1967</t>
  </si>
  <si>
    <t>PRD1968</t>
  </si>
  <si>
    <t>PRD1969</t>
  </si>
  <si>
    <t>PRD1970</t>
  </si>
  <si>
    <t>PRD1971</t>
  </si>
  <si>
    <t>PRD1972</t>
  </si>
  <si>
    <t>PRD1973</t>
  </si>
  <si>
    <t>PRD1974</t>
  </si>
  <si>
    <t>PRD1975</t>
  </si>
  <si>
    <t>PRD1976</t>
  </si>
  <si>
    <t>PRD1977</t>
  </si>
  <si>
    <t>PRD1978</t>
  </si>
  <si>
    <t>PRD1979</t>
  </si>
  <si>
    <t>PRD1980</t>
  </si>
  <si>
    <t>PRD1981</t>
  </si>
  <si>
    <t>PRD1982</t>
  </si>
  <si>
    <t>PRD1983</t>
  </si>
  <si>
    <t>PRD1984</t>
  </si>
  <si>
    <t>PRD1985</t>
  </si>
  <si>
    <t>PRD1986</t>
  </si>
  <si>
    <t>PRD1987</t>
  </si>
  <si>
    <t>PRD1988</t>
  </si>
  <si>
    <t>PRD1989</t>
  </si>
  <si>
    <t>PRD1990</t>
  </si>
  <si>
    <t>PRD1991</t>
  </si>
  <si>
    <t>PRD1992</t>
  </si>
  <si>
    <t>PRD1993</t>
  </si>
  <si>
    <t>PRD1994</t>
  </si>
  <si>
    <t>PRD1995</t>
  </si>
  <si>
    <t>PRD1996</t>
  </si>
  <si>
    <t>PRD1997</t>
  </si>
  <si>
    <t>PRD1998</t>
  </si>
  <si>
    <t>PRD1999</t>
  </si>
  <si>
    <t>PRD2000</t>
  </si>
  <si>
    <t>Smartwatch</t>
  </si>
  <si>
    <t>Desktop PC</t>
  </si>
  <si>
    <t>E-Reader</t>
  </si>
  <si>
    <t>Laptop</t>
  </si>
  <si>
    <t>Tablet</t>
  </si>
  <si>
    <t>External Hard Drive</t>
  </si>
  <si>
    <t>Smartphone</t>
  </si>
  <si>
    <t>Headphones</t>
  </si>
  <si>
    <t>Printer</t>
  </si>
  <si>
    <t>Camera</t>
  </si>
  <si>
    <t>CATEGORY</t>
  </si>
  <si>
    <t>Headphone</t>
  </si>
  <si>
    <t>External Hard Disk</t>
  </si>
  <si>
    <t>BRAND</t>
  </si>
  <si>
    <t>SUPPLIER</t>
  </si>
  <si>
    <t>PRODUCT_ID</t>
  </si>
  <si>
    <t>UNIT_COST</t>
  </si>
  <si>
    <t>SELLING_PRICE</t>
  </si>
  <si>
    <t>SALE_ID</t>
  </si>
  <si>
    <t>ORDER_DATE</t>
  </si>
  <si>
    <t>QUANTITY_SOLD</t>
  </si>
  <si>
    <t>CUSTOMER_ID</t>
  </si>
  <si>
    <t>ProductID</t>
  </si>
  <si>
    <t>ProductName</t>
  </si>
  <si>
    <t>Brand</t>
  </si>
  <si>
    <t>Supplier</t>
  </si>
  <si>
    <t>P001</t>
  </si>
  <si>
    <t>Computing Devices</t>
  </si>
  <si>
    <t>Apple</t>
  </si>
  <si>
    <t>Redington India</t>
  </si>
  <si>
    <t>P002</t>
  </si>
  <si>
    <t>Samsung</t>
  </si>
  <si>
    <t>Rashi Peripherals</t>
  </si>
  <si>
    <t>P003</t>
  </si>
  <si>
    <t>Dell</t>
  </si>
  <si>
    <t>Savex Technologies</t>
  </si>
  <si>
    <t>P004</t>
  </si>
  <si>
    <t>HP</t>
  </si>
  <si>
    <t>P005</t>
  </si>
  <si>
    <t>Lenovo</t>
  </si>
  <si>
    <t>P006</t>
  </si>
  <si>
    <t>P007</t>
  </si>
  <si>
    <t>Acer</t>
  </si>
  <si>
    <t>Ingram Micro India</t>
  </si>
  <si>
    <t>P008</t>
  </si>
  <si>
    <t>P009</t>
  </si>
  <si>
    <t>P010</t>
  </si>
  <si>
    <t>P011</t>
  </si>
  <si>
    <t>P012</t>
  </si>
  <si>
    <t>Amazon</t>
  </si>
  <si>
    <t>TD SYNNEX India</t>
  </si>
  <si>
    <t>P013</t>
  </si>
  <si>
    <t>P014</t>
  </si>
  <si>
    <t>Kobo</t>
  </si>
  <si>
    <t>P015</t>
  </si>
  <si>
    <t>Onyx</t>
  </si>
  <si>
    <t>Comtech Solutions</t>
  </si>
  <si>
    <t>P016</t>
  </si>
  <si>
    <t>PocketBook</t>
  </si>
  <si>
    <t>Acro Engineering</t>
  </si>
  <si>
    <t>P017</t>
  </si>
  <si>
    <t>Mobile &amp; Wearables</t>
  </si>
  <si>
    <t>P018</t>
  </si>
  <si>
    <t>P019</t>
  </si>
  <si>
    <t>Xiaomi</t>
  </si>
  <si>
    <t>P020</t>
  </si>
  <si>
    <t>OnePlus</t>
  </si>
  <si>
    <t>P021</t>
  </si>
  <si>
    <t>P022</t>
  </si>
  <si>
    <t>P023</t>
  </si>
  <si>
    <t>Garmin</t>
  </si>
  <si>
    <t>Supertron Electronics</t>
  </si>
  <si>
    <t>P024</t>
  </si>
  <si>
    <t>Fitbit</t>
  </si>
  <si>
    <t>P025</t>
  </si>
  <si>
    <t>Audio Devices</t>
  </si>
  <si>
    <t>Sony</t>
  </si>
  <si>
    <t>P026</t>
  </si>
  <si>
    <t>Bose</t>
  </si>
  <si>
    <t>P027</t>
  </si>
  <si>
    <t>JBL</t>
  </si>
  <si>
    <t>P028</t>
  </si>
  <si>
    <t>Sennheiser</t>
  </si>
  <si>
    <t>P029</t>
  </si>
  <si>
    <t>Office Equipment</t>
  </si>
  <si>
    <t>P030</t>
  </si>
  <si>
    <t>Canon</t>
  </si>
  <si>
    <t>P031</t>
  </si>
  <si>
    <t>Epson</t>
  </si>
  <si>
    <t>P032</t>
  </si>
  <si>
    <t>Brother</t>
  </si>
  <si>
    <t>P033</t>
  </si>
  <si>
    <t>P034</t>
  </si>
  <si>
    <t>Nikon</t>
  </si>
  <si>
    <t>P035</t>
  </si>
  <si>
    <t>P036</t>
  </si>
  <si>
    <t>Fujifilm</t>
  </si>
  <si>
    <t>P037</t>
  </si>
  <si>
    <t>Storage Devices</t>
  </si>
  <si>
    <t>Seagate</t>
  </si>
  <si>
    <t>P038</t>
  </si>
  <si>
    <t>Western Digital</t>
  </si>
  <si>
    <t>P039</t>
  </si>
  <si>
    <t>Toshiba</t>
  </si>
  <si>
    <t>P040</t>
  </si>
  <si>
    <t>Category</t>
  </si>
  <si>
    <t>UnitCost</t>
  </si>
  <si>
    <t>SellingPrice</t>
  </si>
  <si>
    <t>CurrentStock</t>
  </si>
  <si>
    <t>ReorderLevel</t>
  </si>
  <si>
    <t>MaxStock</t>
  </si>
  <si>
    <t>Warehouse</t>
  </si>
  <si>
    <t>LastRestockDate</t>
  </si>
  <si>
    <t>Delhi - Okhla Industrial Area WH</t>
  </si>
  <si>
    <t>Noida - Sector 63 Logistics Hub WH</t>
  </si>
  <si>
    <t>Gurugram - Udyog Vihar WH</t>
  </si>
  <si>
    <t>Delhi - Bawana Industrial Area WH</t>
  </si>
  <si>
    <t>Noida - Sector 80 Distribution Center WH</t>
  </si>
  <si>
    <t>Gurugram - Manesar Industrial Hub WH</t>
  </si>
  <si>
    <t>Delhi - Patparganj Industrial Area WH</t>
  </si>
  <si>
    <t>Noida - Greater Noida West WH</t>
  </si>
  <si>
    <t>Gurugram - Sohna Road Warehouse WH</t>
  </si>
  <si>
    <t>Delhi - Narela Industrial Area WH</t>
  </si>
  <si>
    <t>Noida - Ecotech III WH</t>
  </si>
  <si>
    <t>Gurugram - IMT Manesar WH</t>
  </si>
  <si>
    <t>Delhi - Mayapuri Industrial Area WH</t>
  </si>
  <si>
    <t>Noida - Sector 16 Logistics Park WH</t>
  </si>
  <si>
    <t>Gurugram - Sector 37 Industrial Zone WH</t>
  </si>
  <si>
    <t>Delhi - Tikri Kalan WH</t>
  </si>
  <si>
    <t>Noida - Yamuna Expressway WH</t>
  </si>
  <si>
    <t>Delhi - Mundka Industrial Area WH</t>
  </si>
  <si>
    <t>Noida - Sector 142 WH</t>
  </si>
  <si>
    <t>CUST054</t>
  </si>
  <si>
    <t>CUST026</t>
  </si>
  <si>
    <t>CUST068</t>
  </si>
  <si>
    <t>CUST031</t>
  </si>
  <si>
    <t>CUST087</t>
  </si>
  <si>
    <t>CUST061</t>
  </si>
  <si>
    <t>CUST097</t>
  </si>
  <si>
    <t>CUST059</t>
  </si>
  <si>
    <t>CUST043</t>
  </si>
  <si>
    <t>CUST007</t>
  </si>
  <si>
    <t>CUST040</t>
  </si>
  <si>
    <t>CUST042</t>
  </si>
  <si>
    <t>CUST060</t>
  </si>
  <si>
    <t>CUST044</t>
  </si>
  <si>
    <t>CUST072</t>
  </si>
  <si>
    <t>CUST057</t>
  </si>
  <si>
    <t>CUST027</t>
  </si>
  <si>
    <t>CUST039</t>
  </si>
  <si>
    <t>CUST084</t>
  </si>
  <si>
    <t>CUST025</t>
  </si>
  <si>
    <t>CUST001</t>
  </si>
  <si>
    <t>CUST010</t>
  </si>
  <si>
    <t>CUST092</t>
  </si>
  <si>
    <t>CUST029</t>
  </si>
  <si>
    <t>CUST058</t>
  </si>
  <si>
    <t>CUST003</t>
  </si>
  <si>
    <t>CUST052</t>
  </si>
  <si>
    <t>CUST074</t>
  </si>
  <si>
    <t>CUST082</t>
  </si>
  <si>
    <t>CUST055</t>
  </si>
  <si>
    <t>CUST020</t>
  </si>
  <si>
    <t>CUST077</t>
  </si>
  <si>
    <t>CUST018</t>
  </si>
  <si>
    <t>CUST056</t>
  </si>
  <si>
    <t>CUST081</t>
  </si>
  <si>
    <t>CUST014</t>
  </si>
  <si>
    <t>CUST078</t>
  </si>
  <si>
    <t>CUST051</t>
  </si>
  <si>
    <t>CUST093</t>
  </si>
  <si>
    <t>CUST034</t>
  </si>
  <si>
    <t>CUST045</t>
  </si>
  <si>
    <t>CUST028</t>
  </si>
  <si>
    <t>CUST064</t>
  </si>
  <si>
    <t>CUST030</t>
  </si>
  <si>
    <t>CUST002</t>
  </si>
  <si>
    <t>CUST076</t>
  </si>
  <si>
    <t>CUST012</t>
  </si>
  <si>
    <t>CUST023</t>
  </si>
  <si>
    <t>CUST090</t>
  </si>
  <si>
    <t>CUST099</t>
  </si>
  <si>
    <t>CUST006</t>
  </si>
  <si>
    <t>CUST048</t>
  </si>
  <si>
    <t>CUST037</t>
  </si>
  <si>
    <t>CUST008</t>
  </si>
  <si>
    <t>CUST073</t>
  </si>
  <si>
    <t>CUST088</t>
  </si>
  <si>
    <t>CUST041</t>
  </si>
  <si>
    <t>CUST071</t>
  </si>
  <si>
    <t>CUST015</t>
  </si>
  <si>
    <t>CUST070</t>
  </si>
  <si>
    <t>CUST017</t>
  </si>
  <si>
    <t>CUST096</t>
  </si>
  <si>
    <t>CUST095</t>
  </si>
  <si>
    <t>CUST046</t>
  </si>
  <si>
    <t>CUST094</t>
  </si>
  <si>
    <t>CUST021</t>
  </si>
  <si>
    <t>CUST053</t>
  </si>
  <si>
    <t>CUST066</t>
  </si>
  <si>
    <t>CUST079</t>
  </si>
  <si>
    <t>CUST062</t>
  </si>
  <si>
    <t>CUST069</t>
  </si>
  <si>
    <t>CUST075</t>
  </si>
  <si>
    <t>CUST098</t>
  </si>
  <si>
    <t>CUST063</t>
  </si>
  <si>
    <t>CUST011</t>
  </si>
  <si>
    <t>CUST019</t>
  </si>
  <si>
    <t>CUST022</t>
  </si>
  <si>
    <t>CUST091</t>
  </si>
  <si>
    <t>CUST049</t>
  </si>
  <si>
    <t>CUST033</t>
  </si>
  <si>
    <t>CUST080</t>
  </si>
  <si>
    <t>CUST085</t>
  </si>
  <si>
    <t>CUST083</t>
  </si>
  <si>
    <t>CUST016</t>
  </si>
  <si>
    <t>CUST038</t>
  </si>
  <si>
    <t>CUST024</t>
  </si>
  <si>
    <t>CUST004</t>
  </si>
  <si>
    <t>CUST067</t>
  </si>
  <si>
    <t>CUST050</t>
  </si>
  <si>
    <t>CUST089</t>
  </si>
  <si>
    <t>CUST009</t>
  </si>
  <si>
    <t>CUST005</t>
  </si>
  <si>
    <t>CUST035</t>
  </si>
  <si>
    <t>CUST032</t>
  </si>
  <si>
    <t>CUST013</t>
  </si>
  <si>
    <t>CUST036</t>
  </si>
  <si>
    <t>CUST065</t>
  </si>
  <si>
    <t>CUST047</t>
  </si>
  <si>
    <t>CUST086</t>
  </si>
  <si>
    <t>PO001</t>
  </si>
  <si>
    <t>PO002</t>
  </si>
  <si>
    <t>PO003</t>
  </si>
  <si>
    <t>PO004</t>
  </si>
  <si>
    <t>PurchaseID</t>
  </si>
  <si>
    <t>OrderDate</t>
  </si>
  <si>
    <t>QuantityOrdered</t>
  </si>
  <si>
    <t>LeadTimeDays</t>
  </si>
  <si>
    <t>PO005</t>
  </si>
  <si>
    <t>PO006</t>
  </si>
  <si>
    <t>PO007</t>
  </si>
  <si>
    <t>PO008</t>
  </si>
  <si>
    <t>PO009</t>
  </si>
  <si>
    <t>PO010</t>
  </si>
  <si>
    <t>PO011</t>
  </si>
  <si>
    <t>PO012</t>
  </si>
  <si>
    <t>PO013</t>
  </si>
  <si>
    <t>PO014</t>
  </si>
  <si>
    <t>PO015</t>
  </si>
  <si>
    <t>PO016</t>
  </si>
  <si>
    <t>PO017</t>
  </si>
  <si>
    <t>PO018</t>
  </si>
  <si>
    <t>PO019</t>
  </si>
  <si>
    <t>PO020</t>
  </si>
  <si>
    <t>PO021</t>
  </si>
  <si>
    <t>PO022</t>
  </si>
  <si>
    <t>PO023</t>
  </si>
  <si>
    <t>PO024</t>
  </si>
  <si>
    <t>PO025</t>
  </si>
  <si>
    <t>PO026</t>
  </si>
  <si>
    <t>PO027</t>
  </si>
  <si>
    <t>PO028</t>
  </si>
  <si>
    <t>PO029</t>
  </si>
  <si>
    <t>PO030</t>
  </si>
  <si>
    <t>PO031</t>
  </si>
  <si>
    <t>PO032</t>
  </si>
  <si>
    <t>PO033</t>
  </si>
  <si>
    <t>PO034</t>
  </si>
  <si>
    <t>PO035</t>
  </si>
  <si>
    <t>PO036</t>
  </si>
  <si>
    <t>PO037</t>
  </si>
  <si>
    <t>PO038</t>
  </si>
  <si>
    <t>PO039</t>
  </si>
  <si>
    <t>PO040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</si>
</sst>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58DD2-AE50-4548-B369-33B663E7F6DE}">
  <sheetPr codeName="Sheet1"/>
  <dimension ref="A1:G1001"/>
  <sheetViews>
    <sheetView workbookViewId="0">
      <selection activeCell="J5" sqref="J5"/>
    </sheetView>
  </sheetViews>
  <sheetFormatPr defaultRowHeight="15" x14ac:dyDescent="0.25"/>
  <cols>
    <col min="1" max="1" width="12.42578125" bestFit="1" customWidth="1"/>
    <col min="2" max="2" width="18.28515625" bestFit="1" customWidth="1"/>
    <col min="3" max="3" width="30.140625" bestFit="1" customWidth="1"/>
    <col min="4" max="4" width="23.85546875" bestFit="1" customWidth="1"/>
    <col min="5" max="5" width="20.140625" bestFit="1" customWidth="1"/>
    <col min="6" max="6" width="11" bestFit="1" customWidth="1"/>
    <col min="7" max="7" width="14.28515625" bestFit="1" customWidth="1"/>
  </cols>
  <sheetData>
    <row r="1" spans="1:7" x14ac:dyDescent="0.25">
      <c r="A1" s="1" t="s">
        <v>1016</v>
      </c>
      <c r="B1" s="2" t="s">
        <v>5</v>
      </c>
      <c r="C1" s="1" t="s">
        <v>1011</v>
      </c>
      <c r="D1" s="1" t="s">
        <v>1014</v>
      </c>
      <c r="E1" s="1" t="s">
        <v>1015</v>
      </c>
      <c r="F1" s="1" t="s">
        <v>1017</v>
      </c>
      <c r="G1" s="1" t="s">
        <v>1018</v>
      </c>
    </row>
    <row r="2" spans="1:7" x14ac:dyDescent="0.25">
      <c r="A2" t="s">
        <v>0</v>
      </c>
      <c r="B2" t="s">
        <v>1001</v>
      </c>
      <c r="C2" t="str">
        <f>IF(OR(B2="Laptop",B2="Desktop PC",B2="Tablet",B2="E-Reader"),
"Electronics (Computing Devices)",
IF(OR(B2="Smartphone",B2="Smartwatch"),
"Mobile and Wearables",
IF(B2="Headphone",
"Audio Devices",
IF(OR(B2="Printer",B2="Camera"),
"Office Equipments",
IF(B2="External Hard Disk",
"Storage Devices",
"Other")))))</f>
        <v>Mobile and Wearables</v>
      </c>
      <c r="D2" t="str">
        <f>IF(B2="Smartphone",
"SAMSUNG",
IF(B2="Smartwatch",
"Apple",
IF(B2="Laptop",
"Lenovo / Apple",
IF(B2="Desktop PC",
"Lenovo / Apple",
IF(B2="Tablet",
"Samsung / Apple / Lenovo",
IF(B2="Headphone",
"Sony",
IF(B2="Camera",
"Sony",
IF(B2="Printer",
"HP",
IF(B2="External Hard Disk",
"Seagate / Western Digital",
"Other")))))))))</f>
        <v>Apple</v>
      </c>
      <c r="E2" t="str">
        <f>IF(D2="Apple",
"Redington India",
IF(D2="Samsung",
"Rashi Peripherals",
IF(D2="Sony",
"Supertron Electronics",
IF(OR(D2="Lenovo",D2="HP",D2="Dell"),
"Savex Technologies",
IF(C2="Printer",
"Rashi Peripherals",
IF(C2="Camera",
"Redington India",
IF(C2="External Hard Disk",
"Supertron Electronics",
"Ingram Micron India")))))))</f>
        <v>Redington India</v>
      </c>
      <c r="F2">
        <f>IF(D2="Apple",
IF(C2="Smartphone",95000,
IF(C2="Tablet",75000,
IF(C2="Laptop",150000,
IF(C2="Smartwatch",90000,40000)))),
IF(D2="Samsung",
IF(C2="Smartphone",55000,
IF(C2="Tablet",40000,
IF(C2="Smartwatch",25000,30000))),
IF(D2="Lenovo",
IF(C2="Laptop",85000,
IF(C2="Desktop PC",70000,45000)),
IF(D2="HP",
IF(C2="Printer",30000,
IF(C2="Laptop",80000,40000)),
IF(D2="Sony",
IF(C2="Headphone",15000,
IF(C2="Camera",120000,60000)),
IF(C2="External Hard Disk",
IF(D2="Seagate",7000,
IF(D2="Western Digital",8000,7500)),
35000))))))</f>
        <v>40000</v>
      </c>
      <c r="G2">
        <f>IF(C2="Smartphone",F2*1.1,
IF(C2="Laptop",F2*1.08,
IF(C2="Tablet",F2*1.12,
IF(C2="Smartwatch",F2*1.15,
IF(C2="Desktop PC",F2*1.07,
IF(C2="Printer",F2*1.18,
IF(C2="Camera",F2*1.12,
IF(C2="Headphone",F2*1.25,
IF(C2="External Hard Disk",F2*1.2,
F2*1.1)))))))))</f>
        <v>44000</v>
      </c>
    </row>
    <row r="3" spans="1:7" x14ac:dyDescent="0.25">
      <c r="A3" t="s">
        <v>1</v>
      </c>
      <c r="B3" t="s">
        <v>1002</v>
      </c>
      <c r="C3" t="str">
        <f t="shared" ref="C3:C66" si="0">IF(OR(B3="Laptop",B3="Desktop PC",B3="Tablet",B3="E-Reader"),
"Electronics (Computing Devices)",
IF(OR(B3="Smartphone",B3="Smartwatch"),
"Mobile and Wearables",
IF(B3="Headphone",
"Audio Devices",
IF(OR(B3="Printer",B3="Camera"),
"Office Equipments",
IF(B3="External Hard Disk",
"Storage Devices",
"Other")))))</f>
        <v>Electronics (Computing Devices)</v>
      </c>
      <c r="D3" t="str">
        <f>IF(B3="Smartphone",D4,
IF(B3="Smartwatch",
"Apple",
IF(B3="Laptop",
" Apple",
IF(B3="Desktop PC",
"Lenovo",
IF(B3="Tablet",
"Samsung",
IF(B3="Headphone",
"Sony",
IF(B3="Camera",
"Sony",
IF(B3="Printer",
"HP",
IF(B3="External Hard Disk",
"Seagate / Western Digital",
"Other")))))))))</f>
        <v>Lenovo</v>
      </c>
      <c r="E3" t="str">
        <f>IF(D3="Apple",
"Redington India",
IF(D3="Samsung",
"Rashi Peripherals",
IF(D3="Sony",
"Supertron Electronics",
IF(OR(D3="Lenovo",D3="HP",D3="Dell"),
"Savex Technologies",
IF(C3="Printer",
"Rashi Peripherals",
IF(C3="Camera",
"Redington India",
IF(C3="External Hard Disk",
"Supertron Electronics",
"Ingram Micron India")))))))</f>
        <v>Savex Technologies</v>
      </c>
      <c r="F3">
        <f t="shared" ref="F3:F66" si="1">IF(D3="Apple",
IF(C3="Smartphone",95000,
IF(C3="Tablet",75000,
IF(C3="Laptop",150000,
IF(C3="Smartwatch",90000,40000)))),
IF(D3="Samsung",
IF(C3="Smartphone",55000,
IF(C3="Tablet",40000,
IF(C3="Smartwatch",25000,30000))),
IF(D3="Lenovo",
IF(C3="Laptop",85000,
IF(C3="Desktop PC",70000,45000)),
IF(D3="HP",
IF(C3="Printer",30000,
IF(C3="Laptop",80000,40000)),
IF(D3="Sony",
IF(C3="Headphone",15000,
IF(C3="Camera",120000,60000)),
IF(C3="External Hard Disk",
IF(D3="Seagate",7000,
IF(D3="Western Digital",8000,7500)),
35000))))))</f>
        <v>45000</v>
      </c>
      <c r="G3">
        <f t="shared" ref="G3:G66" si="2">IF(C3="Smartphone",F3*1.1,
IF(C3="Laptop",F3*1.08,
IF(C3="Tablet",F3*1.12,
IF(C3="Smartwatch",F3*1.15,
IF(C3="Desktop PC",F3*1.07,
IF(C3="Printer",F3*1.18,
IF(C3="Camera",F3*1.12,
IF(C3="Headphone",F3*1.25,
IF(C3="External Hard Disk",F3*1.2,
F3*1.1)))))))))</f>
        <v>49500.000000000007</v>
      </c>
    </row>
    <row r="4" spans="1:7" x14ac:dyDescent="0.25">
      <c r="A4" t="s">
        <v>2</v>
      </c>
      <c r="B4" t="s">
        <v>1002</v>
      </c>
      <c r="C4" t="str">
        <f t="shared" si="0"/>
        <v>Electronics (Computing Devices)</v>
      </c>
      <c r="D4" t="str">
        <f>IF(B4="Smartphone",D5,
IF(B4="Smartwatch",
"Apple",
IF(B4="Laptop",
" Apple",
IF(B4="Desktop PC",
"Lenovo",
IF(B4="Tablet",
"Samsung",
IF(B4="Headphone",
"Sony",
IF(B4="Camera",
"Sony",
IF(B4="Printer",
"HP",
IF(B4="External Hard Disk",
"Seagate / Western Digital",
"Other")))))))))</f>
        <v>Lenovo</v>
      </c>
      <c r="E4" t="str">
        <f t="shared" ref="E3:E66" si="3">IF(D4="Apple",
"Redington India",
IF(D4="Samsung",
"Rashi Peripherals",
IF(D4="Sony",
"Supertron Electronics",
IF(OR(D4="Lenovo",D4="HP",D4="Dell"),
"Savex Technologies",
IF(C4="Printer",
"Rashi Peripherals",
IF(C4="Camera",
"Redington India",
IF(C4="External Hard Disk",
"Supertron Electronics",
"Ingram Micron India")))))))</f>
        <v>Savex Technologies</v>
      </c>
      <c r="F4">
        <f t="shared" si="1"/>
        <v>45000</v>
      </c>
      <c r="G4">
        <f t="shared" si="2"/>
        <v>49500.000000000007</v>
      </c>
    </row>
    <row r="5" spans="1:7" x14ac:dyDescent="0.25">
      <c r="A5" t="s">
        <v>3</v>
      </c>
      <c r="B5" t="s">
        <v>1003</v>
      </c>
      <c r="C5" t="str">
        <f t="shared" si="0"/>
        <v>Electronics (Computing Devices)</v>
      </c>
      <c r="D5" t="str">
        <f>IF(B5="Smartphone",D6,
IF(B5="Smartwatch",
"Apple",
IF(B5="Laptop",
" Apple",
IF(B5="Desktop PC",
"Lenovo",
IF(B5="Tablet",
"Samsung",
IF(B5="Headphone",
"Sony",
IF(B5="Camera",
"Sony",
IF(B5="Printer",
"HP",
IF(B5="External Hard Disk",
"Seagate / Western Digital",
"Other")))))))))</f>
        <v>Other</v>
      </c>
      <c r="E5" t="str">
        <f t="shared" si="3"/>
        <v>Ingram Micron India</v>
      </c>
      <c r="F5">
        <f t="shared" si="1"/>
        <v>35000</v>
      </c>
      <c r="G5">
        <f t="shared" si="2"/>
        <v>38500</v>
      </c>
    </row>
    <row r="6" spans="1:7" x14ac:dyDescent="0.25">
      <c r="A6" t="s">
        <v>4</v>
      </c>
      <c r="B6" t="s">
        <v>1004</v>
      </c>
      <c r="C6" t="str">
        <f t="shared" si="0"/>
        <v>Electronics (Computing Devices)</v>
      </c>
      <c r="D6" t="str">
        <f>IF(B6="Smartphone",D7,
IF(B6="Smartwatch",
"Apple",
IF(B6="Laptop",
" Apple",
IF(B6="Desktop PC",
"Lenovo",
IF(B6="Tablet",
"Samsung",
IF(B6="Headphone",
"Sony",
IF(B6="Camera",
"Sony",
IF(B6="Printer",
"HP",
IF(B6="External Hard Disk",
"Seagate / Western Digital",
"Other")))))))))</f>
        <v xml:space="preserve"> Apple</v>
      </c>
      <c r="E6" t="str">
        <f t="shared" si="3"/>
        <v>Ingram Micron India</v>
      </c>
      <c r="F6">
        <f t="shared" si="1"/>
        <v>35000</v>
      </c>
      <c r="G6">
        <f t="shared" si="2"/>
        <v>38500</v>
      </c>
    </row>
    <row r="7" spans="1:7" x14ac:dyDescent="0.25">
      <c r="A7" t="s">
        <v>6</v>
      </c>
      <c r="B7" t="s">
        <v>1004</v>
      </c>
      <c r="C7" t="str">
        <f t="shared" si="0"/>
        <v>Electronics (Computing Devices)</v>
      </c>
      <c r="D7" t="str">
        <f>IF(B7="Smartphone",D8,
IF(B7="Smartwatch",
"Apple",
IF(B7="Laptop",
" Apple",
IF(B7="Desktop PC",
"Lenovo",
IF(B7="Tablet",
"Samsung",
IF(B7="Headphone",
"Sony",
IF(B7="Camera",
"Sony",
IF(B7="Printer",
"HP",
IF(B7="External Hard Disk",
"Seagate / Western Digital",
"Other")))))))))</f>
        <v xml:space="preserve"> Apple</v>
      </c>
      <c r="E7" t="str">
        <f t="shared" si="3"/>
        <v>Ingram Micron India</v>
      </c>
      <c r="F7">
        <f t="shared" si="1"/>
        <v>35000</v>
      </c>
      <c r="G7">
        <f t="shared" si="2"/>
        <v>38500</v>
      </c>
    </row>
    <row r="8" spans="1:7" x14ac:dyDescent="0.25">
      <c r="A8" t="s">
        <v>7</v>
      </c>
      <c r="B8" t="s">
        <v>1005</v>
      </c>
      <c r="C8" t="str">
        <f t="shared" si="0"/>
        <v>Electronics (Computing Devices)</v>
      </c>
      <c r="D8" t="str">
        <f>IF(B8="Smartphone",D9,
IF(B8="Smartwatch",
"Apple",
IF(B8="Laptop",
" Apple",
IF(B8="Desktop PC",
"Lenovo",
IF(B8="Tablet",
"Samsung",
IF(B8="Headphone",
"Sony",
IF(B8="Camera",
"Sony",
IF(B8="Printer",
"HP",
IF(B8="External Hard Disk",
"Seagate / Western Digital",
"Other")))))))))</f>
        <v>Samsung</v>
      </c>
      <c r="E8" t="str">
        <f t="shared" si="3"/>
        <v>Rashi Peripherals</v>
      </c>
      <c r="F8">
        <f t="shared" si="1"/>
        <v>30000</v>
      </c>
      <c r="G8">
        <f t="shared" si="2"/>
        <v>33000</v>
      </c>
    </row>
    <row r="9" spans="1:7" x14ac:dyDescent="0.25">
      <c r="A9" t="s">
        <v>8</v>
      </c>
      <c r="B9" t="s">
        <v>1013</v>
      </c>
      <c r="C9" t="str">
        <f t="shared" si="0"/>
        <v>Storage Devices</v>
      </c>
      <c r="D9" t="str">
        <f>IF(B9="Smartphone",D10,
IF(B9="Smartwatch",
"Apple",
IF(B9="Laptop",
" Apple",
IF(B9="Desktop PC",
"Lenovo",
IF(B9="Tablet",
"Samsung",
IF(B9="Headphone",
"Sony",
IF(B9="Camera",
"Sony",
IF(B9="Printer",
"HP",
IF(B9="External Hard Disk",
"Seagate / Western Digital",
"Other")))))))))</f>
        <v>Seagate / Western Digital</v>
      </c>
      <c r="E9" t="str">
        <f t="shared" si="3"/>
        <v>Ingram Micron India</v>
      </c>
      <c r="F9">
        <f t="shared" si="1"/>
        <v>35000</v>
      </c>
      <c r="G9">
        <f t="shared" si="2"/>
        <v>38500</v>
      </c>
    </row>
    <row r="10" spans="1:7" x14ac:dyDescent="0.25">
      <c r="A10" t="s">
        <v>9</v>
      </c>
      <c r="B10" t="s">
        <v>1005</v>
      </c>
      <c r="C10" t="str">
        <f t="shared" si="0"/>
        <v>Electronics (Computing Devices)</v>
      </c>
      <c r="D10" t="str">
        <f>IF(B10="Smartphone",D11,
IF(B10="Smartwatch",
"Apple",
IF(B10="Laptop",
" Apple",
IF(B10="Desktop PC",
"Lenovo",
IF(B10="Tablet",
"Samsung",
IF(B10="Headphone",
"Sony",
IF(B10="Camera",
"Sony",
IF(B10="Printer",
"HP",
IF(B10="External Hard Disk",
"Seagate / Western Digital",
"Other")))))))))</f>
        <v>Samsung</v>
      </c>
      <c r="E10" t="str">
        <f t="shared" si="3"/>
        <v>Rashi Peripherals</v>
      </c>
      <c r="F10">
        <f t="shared" si="1"/>
        <v>30000</v>
      </c>
      <c r="G10">
        <f t="shared" si="2"/>
        <v>33000</v>
      </c>
    </row>
    <row r="11" spans="1:7" x14ac:dyDescent="0.25">
      <c r="A11" t="s">
        <v>10</v>
      </c>
      <c r="B11" t="s">
        <v>1007</v>
      </c>
      <c r="C11" t="str">
        <f t="shared" si="0"/>
        <v>Mobile and Wearables</v>
      </c>
      <c r="D11" t="str">
        <f>IF(B11="Smartphone",D12,
IF(B11="Smartwatch",
"Apple",
IF(B11="Laptop",
" Apple",
IF(B11="Desktop PC",
"Lenovo",
IF(B11="Tablet",
"Samsung",
IF(B11="Headphone",
"Sony",
IF(B11="Camera",
"Sony",
IF(B11="Printer",
"HP",
IF(B11="External Hard Disk",
"Seagate / Western Digital",
"Other")))))))))</f>
        <v>Apple</v>
      </c>
      <c r="E11" t="str">
        <f t="shared" si="3"/>
        <v>Redington India</v>
      </c>
      <c r="F11">
        <f t="shared" si="1"/>
        <v>40000</v>
      </c>
      <c r="G11">
        <f t="shared" si="2"/>
        <v>44000</v>
      </c>
    </row>
    <row r="12" spans="1:7" x14ac:dyDescent="0.25">
      <c r="A12" t="s">
        <v>11</v>
      </c>
      <c r="B12" t="s">
        <v>1001</v>
      </c>
      <c r="C12" t="str">
        <f t="shared" si="0"/>
        <v>Mobile and Wearables</v>
      </c>
      <c r="D12" t="str">
        <f>IF(B12="Smartphone",D13,
IF(B12="Smartwatch",
"Apple",
IF(B12="Laptop",
" Apple",
IF(B12="Desktop PC",
"Lenovo",
IF(B12="Tablet",
"Samsung",
IF(B12="Headphone",
"Sony",
IF(B12="Camera",
"Sony",
IF(B12="Printer",
"HP",
IF(B12="External Hard Disk",
"Seagate / Western Digital",
"Other")))))))))</f>
        <v>Apple</v>
      </c>
      <c r="E12" t="str">
        <f t="shared" si="3"/>
        <v>Redington India</v>
      </c>
      <c r="F12">
        <f t="shared" si="1"/>
        <v>40000</v>
      </c>
      <c r="G12">
        <f t="shared" si="2"/>
        <v>44000</v>
      </c>
    </row>
    <row r="13" spans="1:7" x14ac:dyDescent="0.25">
      <c r="A13" t="s">
        <v>12</v>
      </c>
      <c r="B13" t="s">
        <v>1012</v>
      </c>
      <c r="C13" t="str">
        <f t="shared" si="0"/>
        <v>Audio Devices</v>
      </c>
      <c r="D13" t="str">
        <f>IF(B13="Smartphone",D14,
IF(B13="Smartwatch",
"Apple",
IF(B13="Laptop",
" Apple",
IF(B13="Desktop PC",
"Lenovo",
IF(B13="Tablet",
"Samsung",
IF(B13="Headphone",
"Sony",
IF(B13="Camera",
"Sony",
IF(B13="Printer",
"HP",
IF(B13="External Hard Disk",
"Seagate / Western Digital",
"Other")))))))))</f>
        <v>Sony</v>
      </c>
      <c r="E13" t="str">
        <f t="shared" si="3"/>
        <v>Supertron Electronics</v>
      </c>
      <c r="F13">
        <f t="shared" si="1"/>
        <v>60000</v>
      </c>
      <c r="G13">
        <f t="shared" si="2"/>
        <v>66000</v>
      </c>
    </row>
    <row r="14" spans="1:7" x14ac:dyDescent="0.25">
      <c r="A14" t="s">
        <v>13</v>
      </c>
      <c r="B14" t="s">
        <v>1009</v>
      </c>
      <c r="C14" t="str">
        <f t="shared" si="0"/>
        <v>Office Equipments</v>
      </c>
      <c r="D14" t="str">
        <f>IF(B14="Smartphone",D15,
IF(B14="Smartwatch",
"Apple",
IF(B14="Laptop",
" Apple",
IF(B14="Desktop PC",
"Lenovo",
IF(B14="Tablet",
"Samsung",
IF(B14="Headphone",
"Sony",
IF(B14="Camera",
"Sony",
IF(B14="Printer",
"HP",
IF(B14="External Hard Disk",
"Seagate / Western Digital",
"Other")))))))))</f>
        <v>HP</v>
      </c>
      <c r="E14" t="str">
        <f t="shared" si="3"/>
        <v>Savex Technologies</v>
      </c>
      <c r="F14">
        <f t="shared" si="1"/>
        <v>40000</v>
      </c>
      <c r="G14">
        <f t="shared" si="2"/>
        <v>44000</v>
      </c>
    </row>
    <row r="15" spans="1:7" x14ac:dyDescent="0.25">
      <c r="A15" t="s">
        <v>14</v>
      </c>
      <c r="B15" t="s">
        <v>1002</v>
      </c>
      <c r="C15" t="str">
        <f t="shared" si="0"/>
        <v>Electronics (Computing Devices)</v>
      </c>
      <c r="D15" t="str">
        <f>IF(B15="Smartphone",D16,
IF(B15="Smartwatch",
"Apple",
IF(B15="Laptop",
" Apple",
IF(B15="Desktop PC",
"Lenovo",
IF(B15="Tablet",
"Samsung",
IF(B15="Headphone",
"Sony",
IF(B15="Camera",
"Sony",
IF(B15="Printer",
"HP",
IF(B15="External Hard Disk",
"Seagate / Western Digital",
"Other")))))))))</f>
        <v>Lenovo</v>
      </c>
      <c r="E15" t="str">
        <f t="shared" si="3"/>
        <v>Savex Technologies</v>
      </c>
      <c r="F15">
        <f t="shared" si="1"/>
        <v>45000</v>
      </c>
      <c r="G15">
        <f t="shared" si="2"/>
        <v>49500.000000000007</v>
      </c>
    </row>
    <row r="16" spans="1:7" x14ac:dyDescent="0.25">
      <c r="A16" t="s">
        <v>15</v>
      </c>
      <c r="B16" t="s">
        <v>1002</v>
      </c>
      <c r="C16" t="str">
        <f t="shared" si="0"/>
        <v>Electronics (Computing Devices)</v>
      </c>
      <c r="D16" t="str">
        <f>IF(B16="Smartphone",D17,
IF(B16="Smartwatch",
"Apple",
IF(B16="Laptop",
" Apple",
IF(B16="Desktop PC",
"Lenovo",
IF(B16="Tablet",
"Samsung",
IF(B16="Headphone",
"Sony",
IF(B16="Camera",
"Sony",
IF(B16="Printer",
"HP",
IF(B16="External Hard Disk",
"Seagate / Western Digital",
"Other")))))))))</f>
        <v>Lenovo</v>
      </c>
      <c r="E16" t="str">
        <f t="shared" si="3"/>
        <v>Savex Technologies</v>
      </c>
      <c r="F16">
        <f t="shared" si="1"/>
        <v>45000</v>
      </c>
      <c r="G16">
        <f t="shared" si="2"/>
        <v>49500.000000000007</v>
      </c>
    </row>
    <row r="17" spans="1:7" x14ac:dyDescent="0.25">
      <c r="A17" t="s">
        <v>16</v>
      </c>
      <c r="B17" t="s">
        <v>1010</v>
      </c>
      <c r="C17" t="str">
        <f t="shared" si="0"/>
        <v>Office Equipments</v>
      </c>
      <c r="D17" t="str">
        <f>IF(B17="Smartphone",D18,
IF(B17="Smartwatch",
"Apple",
IF(B17="Laptop",
" Apple",
IF(B17="Desktop PC",
"Lenovo",
IF(B17="Tablet",
"Samsung",
IF(B17="Headphone",
"Sony",
IF(B17="Camera",
"Sony",
IF(B17="Printer",
"HP",
IF(B17="External Hard Disk",
"Seagate / Western Digital",
"Other")))))))))</f>
        <v>Sony</v>
      </c>
      <c r="E17" t="str">
        <f t="shared" si="3"/>
        <v>Supertron Electronics</v>
      </c>
      <c r="F17">
        <f t="shared" si="1"/>
        <v>60000</v>
      </c>
      <c r="G17">
        <f t="shared" si="2"/>
        <v>66000</v>
      </c>
    </row>
    <row r="18" spans="1:7" x14ac:dyDescent="0.25">
      <c r="A18" t="s">
        <v>17</v>
      </c>
      <c r="B18" t="s">
        <v>1001</v>
      </c>
      <c r="C18" t="str">
        <f t="shared" si="0"/>
        <v>Mobile and Wearables</v>
      </c>
      <c r="D18" t="str">
        <f>IF(B18="Smartphone",D19,
IF(B18="Smartwatch",
"Apple",
IF(B18="Laptop",
" Apple",
IF(B18="Desktop PC",
"Lenovo",
IF(B18="Tablet",
"Samsung",
IF(B18="Headphone",
"Sony",
IF(B18="Camera",
"Sony",
IF(B18="Printer",
"HP",
IF(B18="External Hard Disk",
"Seagate / Western Digital",
"Other")))))))))</f>
        <v>Apple</v>
      </c>
      <c r="E18" t="str">
        <f t="shared" si="3"/>
        <v>Redington India</v>
      </c>
      <c r="F18">
        <f t="shared" si="1"/>
        <v>40000</v>
      </c>
      <c r="G18">
        <f t="shared" si="2"/>
        <v>44000</v>
      </c>
    </row>
    <row r="19" spans="1:7" x14ac:dyDescent="0.25">
      <c r="A19" t="s">
        <v>18</v>
      </c>
      <c r="B19" t="s">
        <v>1009</v>
      </c>
      <c r="C19" t="str">
        <f t="shared" si="0"/>
        <v>Office Equipments</v>
      </c>
      <c r="D19" t="str">
        <f>IF(B19="Smartphone",D20,
IF(B19="Smartwatch",
"Apple",
IF(B19="Laptop",
" Apple",
IF(B19="Desktop PC",
"Lenovo",
IF(B19="Tablet",
"Samsung",
IF(B19="Headphone",
"Sony",
IF(B19="Camera",
"Sony",
IF(B19="Printer",
"HP",
IF(B19="External Hard Disk",
"Seagate / Western Digital",
"Other")))))))))</f>
        <v>HP</v>
      </c>
      <c r="E19" t="str">
        <f t="shared" si="3"/>
        <v>Savex Technologies</v>
      </c>
      <c r="F19">
        <f t="shared" si="1"/>
        <v>40000</v>
      </c>
      <c r="G19">
        <f t="shared" si="2"/>
        <v>44000</v>
      </c>
    </row>
    <row r="20" spans="1:7" x14ac:dyDescent="0.25">
      <c r="A20" t="s">
        <v>19</v>
      </c>
      <c r="B20" t="s">
        <v>1009</v>
      </c>
      <c r="C20" t="str">
        <f t="shared" si="0"/>
        <v>Office Equipments</v>
      </c>
      <c r="D20" t="str">
        <f>IF(B20="Smartphone",D21,
IF(B20="Smartwatch",
"Apple",
IF(B20="Laptop",
" Apple",
IF(B20="Desktop PC",
"Lenovo",
IF(B20="Tablet",
"Samsung",
IF(B20="Headphone",
"Sony",
IF(B20="Camera",
"Sony",
IF(B20="Printer",
"HP",
IF(B20="External Hard Disk",
"Seagate / Western Digital",
"Other")))))))))</f>
        <v>HP</v>
      </c>
      <c r="E20" t="str">
        <f t="shared" si="3"/>
        <v>Savex Technologies</v>
      </c>
      <c r="F20">
        <f t="shared" si="1"/>
        <v>40000</v>
      </c>
      <c r="G20">
        <f t="shared" si="2"/>
        <v>44000</v>
      </c>
    </row>
    <row r="21" spans="1:7" x14ac:dyDescent="0.25">
      <c r="A21" t="s">
        <v>20</v>
      </c>
      <c r="B21" t="s">
        <v>1009</v>
      </c>
      <c r="C21" t="str">
        <f t="shared" si="0"/>
        <v>Office Equipments</v>
      </c>
      <c r="D21" t="str">
        <f>IF(B21="Smartphone",D22,
IF(B21="Smartwatch",
"Apple",
IF(B21="Laptop",
" Apple",
IF(B21="Desktop PC",
"Lenovo",
IF(B21="Tablet",
"Samsung",
IF(B21="Headphone",
"Sony",
IF(B21="Camera",
"Sony",
IF(B21="Printer",
"HP",
IF(B21="External Hard Disk",
"Seagate / Western Digital",
"Other")))))))))</f>
        <v>HP</v>
      </c>
      <c r="E21" t="str">
        <f t="shared" si="3"/>
        <v>Savex Technologies</v>
      </c>
      <c r="F21">
        <f t="shared" si="1"/>
        <v>40000</v>
      </c>
      <c r="G21">
        <f t="shared" si="2"/>
        <v>44000</v>
      </c>
    </row>
    <row r="22" spans="1:7" x14ac:dyDescent="0.25">
      <c r="A22" t="s">
        <v>21</v>
      </c>
      <c r="B22" t="s">
        <v>1004</v>
      </c>
      <c r="C22" t="str">
        <f t="shared" si="0"/>
        <v>Electronics (Computing Devices)</v>
      </c>
      <c r="D22" t="str">
        <f>IF(B22="Smartphone",D23,
IF(B22="Smartwatch",
"Apple",
IF(B22="Laptop",
" Apple",
IF(B22="Desktop PC",
"Lenovo",
IF(B22="Tablet",
"Samsung",
IF(B22="Headphone",
"Sony",
IF(B22="Camera",
"Sony",
IF(B22="Printer",
"HP",
IF(B22="External Hard Disk",
"Seagate / Western Digital",
"Other")))))))))</f>
        <v xml:space="preserve"> Apple</v>
      </c>
      <c r="E22" t="str">
        <f t="shared" si="3"/>
        <v>Ingram Micron India</v>
      </c>
      <c r="F22">
        <f t="shared" si="1"/>
        <v>35000</v>
      </c>
      <c r="G22">
        <f t="shared" si="2"/>
        <v>38500</v>
      </c>
    </row>
    <row r="23" spans="1:7" x14ac:dyDescent="0.25">
      <c r="A23" t="s">
        <v>22</v>
      </c>
      <c r="B23" t="s">
        <v>1004</v>
      </c>
      <c r="C23" t="str">
        <f t="shared" si="0"/>
        <v>Electronics (Computing Devices)</v>
      </c>
      <c r="D23" t="str">
        <f>IF(B23="Smartphone",D24,
IF(B23="Smartwatch",
"Apple",
IF(B23="Laptop",
" Apple",
IF(B23="Desktop PC",
"Lenovo",
IF(B23="Tablet",
"Samsung",
IF(B23="Headphone",
"Sony",
IF(B23="Camera",
"Sony",
IF(B23="Printer",
"HP",
IF(B23="External Hard Disk",
"Seagate / Western Digital",
"Other")))))))))</f>
        <v xml:space="preserve"> Apple</v>
      </c>
      <c r="E23" t="str">
        <f t="shared" si="3"/>
        <v>Ingram Micron India</v>
      </c>
      <c r="F23">
        <f t="shared" si="1"/>
        <v>35000</v>
      </c>
      <c r="G23">
        <f t="shared" si="2"/>
        <v>38500</v>
      </c>
    </row>
    <row r="24" spans="1:7" x14ac:dyDescent="0.25">
      <c r="A24" t="s">
        <v>23</v>
      </c>
      <c r="B24" t="s">
        <v>1003</v>
      </c>
      <c r="C24" t="str">
        <f t="shared" si="0"/>
        <v>Electronics (Computing Devices)</v>
      </c>
      <c r="D24" t="str">
        <f>IF(B24="Smartphone",D25,
IF(B24="Smartwatch",
"Apple",
IF(B24="Laptop",
" Apple",
IF(B24="Desktop PC",
"Lenovo",
IF(B24="Tablet",
"Samsung",
IF(B24="Headphone",
"Sony",
IF(B24="Camera",
"Sony",
IF(B24="Printer",
"HP",
IF(B24="External Hard Disk",
"Seagate / Western Digital",
"Other")))))))))</f>
        <v>Other</v>
      </c>
      <c r="E24" t="str">
        <f t="shared" si="3"/>
        <v>Ingram Micron India</v>
      </c>
      <c r="F24">
        <f t="shared" si="1"/>
        <v>35000</v>
      </c>
      <c r="G24">
        <f t="shared" si="2"/>
        <v>38500</v>
      </c>
    </row>
    <row r="25" spans="1:7" x14ac:dyDescent="0.25">
      <c r="A25" t="s">
        <v>24</v>
      </c>
      <c r="B25" t="s">
        <v>1010</v>
      </c>
      <c r="C25" t="str">
        <f t="shared" si="0"/>
        <v>Office Equipments</v>
      </c>
      <c r="D25" t="str">
        <f>IF(B25="Smartphone",D26,
IF(B25="Smartwatch",
"Apple",
IF(B25="Laptop",
" Apple",
IF(B25="Desktop PC",
"Lenovo",
IF(B25="Tablet",
"Samsung",
IF(B25="Headphone",
"Sony",
IF(B25="Camera",
"Sony",
IF(B25="Printer",
"HP",
IF(B25="External Hard Disk",
"Seagate / Western Digital",
"Other")))))))))</f>
        <v>Sony</v>
      </c>
      <c r="E25" t="str">
        <f t="shared" si="3"/>
        <v>Supertron Electronics</v>
      </c>
      <c r="F25">
        <f t="shared" si="1"/>
        <v>60000</v>
      </c>
      <c r="G25">
        <f t="shared" si="2"/>
        <v>66000</v>
      </c>
    </row>
    <row r="26" spans="1:7" x14ac:dyDescent="0.25">
      <c r="A26" t="s">
        <v>25</v>
      </c>
      <c r="B26" t="s">
        <v>1012</v>
      </c>
      <c r="C26" t="str">
        <f t="shared" si="0"/>
        <v>Audio Devices</v>
      </c>
      <c r="D26" t="str">
        <f>IF(B26="Smartphone",D27,
IF(B26="Smartwatch",
"Apple",
IF(B26="Laptop",
" Apple",
IF(B26="Desktop PC",
"Lenovo",
IF(B26="Tablet",
"Samsung",
IF(B26="Headphone",
"Sony",
IF(B26="Camera",
"Sony",
IF(B26="Printer",
"HP",
IF(B26="External Hard Disk",
"Seagate / Western Digital",
"Other")))))))))</f>
        <v>Sony</v>
      </c>
      <c r="E26" t="str">
        <f t="shared" si="3"/>
        <v>Supertron Electronics</v>
      </c>
      <c r="F26">
        <f t="shared" si="1"/>
        <v>60000</v>
      </c>
      <c r="G26">
        <f t="shared" si="2"/>
        <v>66000</v>
      </c>
    </row>
    <row r="27" spans="1:7" x14ac:dyDescent="0.25">
      <c r="A27" t="s">
        <v>26</v>
      </c>
      <c r="B27" t="s">
        <v>1013</v>
      </c>
      <c r="C27" t="str">
        <f t="shared" si="0"/>
        <v>Storage Devices</v>
      </c>
      <c r="D27" t="str">
        <f>IF(B27="Smartphone",D28,
IF(B27="Smartwatch",
"Apple",
IF(B27="Laptop",
" Apple",
IF(B27="Desktop PC",
"Lenovo",
IF(B27="Tablet",
"Samsung",
IF(B27="Headphone",
"Sony",
IF(B27="Camera",
"Sony",
IF(B27="Printer",
"HP",
IF(B27="External Hard Disk",
"Western Digital",
"Other")))))))))</f>
        <v>Western Digital</v>
      </c>
      <c r="E27" t="str">
        <f t="shared" si="3"/>
        <v>Ingram Micron India</v>
      </c>
      <c r="F27">
        <f t="shared" si="1"/>
        <v>35000</v>
      </c>
      <c r="G27">
        <f t="shared" si="2"/>
        <v>38500</v>
      </c>
    </row>
    <row r="28" spans="1:7" x14ac:dyDescent="0.25">
      <c r="A28" t="s">
        <v>27</v>
      </c>
      <c r="B28" t="s">
        <v>1013</v>
      </c>
      <c r="C28" t="str">
        <f t="shared" si="0"/>
        <v>Storage Devices</v>
      </c>
      <c r="D28" t="str">
        <f>IF(B28="Smartphone",D29,
IF(B28="Smartwatch",
"Apple",
IF(B28="Laptop",
" Apple",
IF(B28="Desktop PC",
"Lenovo",
IF(B28="Tablet",
"Samsung",
IF(B28="Headphone",
"Sony",
IF(B28="Camera",
"Sony",
IF(B28="Printer",
"HP",
IF(B28="External Hard Disk",
"Western Digital",
"Other")))))))))</f>
        <v>Western Digital</v>
      </c>
      <c r="E28" t="str">
        <f t="shared" si="3"/>
        <v>Ingram Micron India</v>
      </c>
      <c r="F28">
        <f t="shared" si="1"/>
        <v>35000</v>
      </c>
      <c r="G28">
        <f t="shared" si="2"/>
        <v>38500</v>
      </c>
    </row>
    <row r="29" spans="1:7" x14ac:dyDescent="0.25">
      <c r="A29" t="s">
        <v>28</v>
      </c>
      <c r="B29" t="s">
        <v>1002</v>
      </c>
      <c r="C29" t="str">
        <f t="shared" si="0"/>
        <v>Electronics (Computing Devices)</v>
      </c>
      <c r="D29" t="str">
        <f>IF(B29="Smartphone",D30,
IF(B29="Smartwatch",
"Apple",
IF(B29="Laptop",
" Apple",
IF(B29="Desktop PC",
"Lenovo",
IF(B29="Tablet",
"Samsung",
IF(B29="Headphone",
"Sony",
IF(B29="Camera",
"Sony",
IF(B29="Printer",
"HP",
IF(B29="External Hard Disk",
"Western Digital",
"Other")))))))))</f>
        <v>Lenovo</v>
      </c>
      <c r="E29" t="str">
        <f t="shared" si="3"/>
        <v>Savex Technologies</v>
      </c>
      <c r="F29">
        <f t="shared" si="1"/>
        <v>45000</v>
      </c>
      <c r="G29">
        <f t="shared" si="2"/>
        <v>49500.000000000007</v>
      </c>
    </row>
    <row r="30" spans="1:7" x14ac:dyDescent="0.25">
      <c r="A30" t="s">
        <v>29</v>
      </c>
      <c r="B30" t="s">
        <v>1002</v>
      </c>
      <c r="C30" t="str">
        <f t="shared" si="0"/>
        <v>Electronics (Computing Devices)</v>
      </c>
      <c r="D30" t="str">
        <f>IF(B30="Smartphone",D31,
IF(B30="Smartwatch",
"Apple",
IF(B30="Laptop",
" Apple",
IF(B30="Desktop PC",
"Lenovo",
IF(B30="Tablet",
"Samsung",
IF(B30="Headphone",
"Sony",
IF(B30="Camera",
"Sony",
IF(B30="Printer",
"HP",
IF(B30="External Hard Disk",
"Western Digital",
"Other")))))))))</f>
        <v>Lenovo</v>
      </c>
      <c r="E30" t="str">
        <f t="shared" si="3"/>
        <v>Savex Technologies</v>
      </c>
      <c r="F30">
        <f t="shared" si="1"/>
        <v>45000</v>
      </c>
      <c r="G30">
        <f t="shared" si="2"/>
        <v>49500.000000000007</v>
      </c>
    </row>
    <row r="31" spans="1:7" x14ac:dyDescent="0.25">
      <c r="A31" t="s">
        <v>30</v>
      </c>
      <c r="B31" t="s">
        <v>1003</v>
      </c>
      <c r="C31" t="str">
        <f t="shared" si="0"/>
        <v>Electronics (Computing Devices)</v>
      </c>
      <c r="D31" t="str">
        <f>IF(B31="Smartphone",D32,
IF(B31="Smartwatch",
"Apple",
IF(B31="Laptop",
" Apple",
IF(B31="Desktop PC",
"Lenovo",
IF(B31="Tablet",
"Samsung",
IF(B31="Headphone",
"Sony",
IF(B31="Camera",
"Sony",
IF(B31="Printer",
"HP",
IF(B31="External Hard Disk",
"Western Digital",
"Other")))))))))</f>
        <v>Other</v>
      </c>
      <c r="E31" t="str">
        <f t="shared" si="3"/>
        <v>Ingram Micron India</v>
      </c>
      <c r="F31">
        <f t="shared" si="1"/>
        <v>35000</v>
      </c>
      <c r="G31">
        <f t="shared" si="2"/>
        <v>38500</v>
      </c>
    </row>
    <row r="32" spans="1:7" x14ac:dyDescent="0.25">
      <c r="A32" t="s">
        <v>31</v>
      </c>
      <c r="B32" t="s">
        <v>1003</v>
      </c>
      <c r="C32" t="str">
        <f t="shared" si="0"/>
        <v>Electronics (Computing Devices)</v>
      </c>
      <c r="D32" t="str">
        <f>IF(B32="Smartphone",D33,
IF(B32="Smartwatch",
"Apple",
IF(B32="Laptop",
" Apple",
IF(B32="Desktop PC",
"Lenovo",
IF(B32="Tablet",
"Samsung",
IF(B32="Headphone",
"Sony",
IF(B32="Camera",
"Sony",
IF(B32="Printer",
"HP",
IF(B32="External Hard Disk",
"Western Digital",
"Other")))))))))</f>
        <v>Other</v>
      </c>
      <c r="E32" t="str">
        <f t="shared" si="3"/>
        <v>Ingram Micron India</v>
      </c>
      <c r="F32">
        <f t="shared" si="1"/>
        <v>35000</v>
      </c>
      <c r="G32">
        <f t="shared" si="2"/>
        <v>38500</v>
      </c>
    </row>
    <row r="33" spans="1:7" x14ac:dyDescent="0.25">
      <c r="A33" t="s">
        <v>32</v>
      </c>
      <c r="B33" t="s">
        <v>1010</v>
      </c>
      <c r="C33" t="str">
        <f t="shared" si="0"/>
        <v>Office Equipments</v>
      </c>
      <c r="D33" t="str">
        <f>IF(B33="Smartphone",D34,
IF(B33="Smartwatch",
"Apple",
IF(B33="Laptop",
" Apple",
IF(B33="Desktop PC",
"Lenovo",
IF(B33="Tablet",
"Samsung",
IF(B33="Headphone",
"Sony",
IF(B33="Camera",
"Sony",
IF(B33="Printer",
"HP",
IF(B33="External Hard Disk",
"Western Digital",
"Other")))))))))</f>
        <v>Sony</v>
      </c>
      <c r="E33" t="str">
        <f t="shared" si="3"/>
        <v>Supertron Electronics</v>
      </c>
      <c r="F33">
        <f t="shared" si="1"/>
        <v>60000</v>
      </c>
      <c r="G33">
        <f t="shared" si="2"/>
        <v>66000</v>
      </c>
    </row>
    <row r="34" spans="1:7" x14ac:dyDescent="0.25">
      <c r="A34" t="s">
        <v>33</v>
      </c>
      <c r="B34" t="s">
        <v>1010</v>
      </c>
      <c r="C34" t="str">
        <f t="shared" si="0"/>
        <v>Office Equipments</v>
      </c>
      <c r="D34" t="str">
        <f>IF(B34="Smartphone",D35,
IF(B34="Smartwatch",
"Apple",
IF(B34="Laptop",
" Apple",
IF(B34="Desktop PC",
"Lenovo",
IF(B34="Tablet",
"Samsung",
IF(B34="Headphone",
"Sony",
IF(B34="Camera",
"Sony",
IF(B34="Printer",
"HP",
IF(B34="External Hard Disk",
"Western Digital",
"Other")))))))))</f>
        <v>Sony</v>
      </c>
      <c r="E34" t="str">
        <f t="shared" si="3"/>
        <v>Supertron Electronics</v>
      </c>
      <c r="F34">
        <f t="shared" si="1"/>
        <v>60000</v>
      </c>
      <c r="G34">
        <f t="shared" si="2"/>
        <v>66000</v>
      </c>
    </row>
    <row r="35" spans="1:7" x14ac:dyDescent="0.25">
      <c r="A35" t="s">
        <v>34</v>
      </c>
      <c r="B35" t="s">
        <v>1001</v>
      </c>
      <c r="C35" t="str">
        <f t="shared" si="0"/>
        <v>Mobile and Wearables</v>
      </c>
      <c r="D35" t="str">
        <f>IF(B35="Smartphone",D36,
IF(B35="Smartwatch",
"Apple",
IF(B35="Laptop",
" Apple",
IF(B35="Desktop PC",
"Lenovo",
IF(B35="Tablet",
"Samsung",
IF(B35="Headphone",
"Sony",
IF(B35="Camera",
"Sony",
IF(B35="Printer",
"HP",
IF(B35="External Hard Disk",
"Western Digital",
"Other")))))))))</f>
        <v>Apple</v>
      </c>
      <c r="E35" t="str">
        <f t="shared" si="3"/>
        <v>Redington India</v>
      </c>
      <c r="F35">
        <f t="shared" si="1"/>
        <v>40000</v>
      </c>
      <c r="G35">
        <f t="shared" si="2"/>
        <v>44000</v>
      </c>
    </row>
    <row r="36" spans="1:7" x14ac:dyDescent="0.25">
      <c r="A36" t="s">
        <v>35</v>
      </c>
      <c r="B36" t="s">
        <v>1004</v>
      </c>
      <c r="C36" t="str">
        <f t="shared" si="0"/>
        <v>Electronics (Computing Devices)</v>
      </c>
      <c r="D36" t="str">
        <f>IF(B36="Smartphone",D37,
IF(B36="Smartwatch",
"Apple",
IF(B36="Laptop",
" Apple",
IF(B36="Desktop PC",
"Lenovo",
IF(B36="Tablet",
"Samsung",
IF(B36="Headphone",
"Sony",
IF(B36="Camera",
"Sony",
IF(B36="Printer",
"HP",
IF(B36="External Hard Disk",
"Western Digital",
"Other")))))))))</f>
        <v xml:space="preserve"> Apple</v>
      </c>
      <c r="E36" t="str">
        <f t="shared" si="3"/>
        <v>Ingram Micron India</v>
      </c>
      <c r="F36">
        <f t="shared" si="1"/>
        <v>35000</v>
      </c>
      <c r="G36">
        <f t="shared" si="2"/>
        <v>38500</v>
      </c>
    </row>
    <row r="37" spans="1:7" x14ac:dyDescent="0.25">
      <c r="A37" t="s">
        <v>36</v>
      </c>
      <c r="B37" t="s">
        <v>1013</v>
      </c>
      <c r="C37" t="str">
        <f t="shared" si="0"/>
        <v>Storage Devices</v>
      </c>
      <c r="D37" t="str">
        <f>IF(B37="Smartphone",D38,
IF(B37="Smartwatch",
"Apple",
IF(B37="Laptop",
" Apple",
IF(B37="Desktop PC",
"Lenovo",
IF(B37="Tablet",
"Samsung",
IF(B37="Headphone",
"Sony",
IF(B37="Camera",
"Sony",
IF(B37="Printer",
"HP",
IF(B37="External Hard Disk",
"Western Digital",
"Other")))))))))</f>
        <v>Western Digital</v>
      </c>
      <c r="E37" t="str">
        <f t="shared" si="3"/>
        <v>Ingram Micron India</v>
      </c>
      <c r="F37">
        <f t="shared" si="1"/>
        <v>35000</v>
      </c>
      <c r="G37">
        <f t="shared" si="2"/>
        <v>38500</v>
      </c>
    </row>
    <row r="38" spans="1:7" x14ac:dyDescent="0.25">
      <c r="A38" t="s">
        <v>37</v>
      </c>
      <c r="B38" t="s">
        <v>1013</v>
      </c>
      <c r="C38" t="str">
        <f t="shared" si="0"/>
        <v>Storage Devices</v>
      </c>
      <c r="D38" t="str">
        <f>IF(B38="Smartphone",D39,
IF(B38="Smartwatch",
"Apple",
IF(B38="Laptop",
" Apple",
IF(B38="Desktop PC",
"Lenovo",
IF(B38="Tablet",
"Samsung",
IF(B38="Headphone",
"Sony",
IF(B38="Camera",
"Sony",
IF(B38="Printer",
"HP",
IF(B38="External Hard Disk",
"Western Digital",
"Other")))))))))</f>
        <v>Western Digital</v>
      </c>
      <c r="E38" t="str">
        <f t="shared" si="3"/>
        <v>Ingram Micron India</v>
      </c>
      <c r="F38">
        <f t="shared" si="1"/>
        <v>35000</v>
      </c>
      <c r="G38">
        <f t="shared" si="2"/>
        <v>38500</v>
      </c>
    </row>
    <row r="39" spans="1:7" x14ac:dyDescent="0.25">
      <c r="A39" t="s">
        <v>38</v>
      </c>
      <c r="B39" t="s">
        <v>1005</v>
      </c>
      <c r="C39" t="str">
        <f t="shared" si="0"/>
        <v>Electronics (Computing Devices)</v>
      </c>
      <c r="D39" t="str">
        <f>IF(B39="Smartphone",D40,
IF(B39="Smartwatch",
"Apple",
IF(B39="Laptop",
" Apple",
IF(B39="Desktop PC",
"Lenovo",
IF(B39="Tablet",
"Samsung",
IF(B39="Headphone",
"Sony",
IF(B39="Camera",
"Sony",
IF(B39="Printer",
"HP",
IF(B39="External Hard Disk",
"Western Digital",
"Other")))))))))</f>
        <v>Samsung</v>
      </c>
      <c r="E39" t="str">
        <f t="shared" si="3"/>
        <v>Rashi Peripherals</v>
      </c>
      <c r="F39">
        <f t="shared" si="1"/>
        <v>30000</v>
      </c>
      <c r="G39">
        <f t="shared" si="2"/>
        <v>33000</v>
      </c>
    </row>
    <row r="40" spans="1:7" x14ac:dyDescent="0.25">
      <c r="A40" t="s">
        <v>39</v>
      </c>
      <c r="B40" t="s">
        <v>1009</v>
      </c>
      <c r="C40" t="str">
        <f t="shared" si="0"/>
        <v>Office Equipments</v>
      </c>
      <c r="D40" t="str">
        <f>IF(B40="Smartphone",D41,
IF(B40="Smartwatch",
"Apple",
IF(B40="Laptop",
" Apple",
IF(B40="Desktop PC",
"Lenovo",
IF(B40="Tablet",
"Samsung",
IF(B40="Headphone",
"Sony",
IF(B40="Camera",
"Sony",
IF(B40="Printer",
"HP",
IF(B40="External Hard Disk",
"Western Digital",
"Other")))))))))</f>
        <v>HP</v>
      </c>
      <c r="E40" t="str">
        <f t="shared" si="3"/>
        <v>Savex Technologies</v>
      </c>
      <c r="F40">
        <f t="shared" si="1"/>
        <v>40000</v>
      </c>
      <c r="G40">
        <f t="shared" si="2"/>
        <v>44000</v>
      </c>
    </row>
    <row r="41" spans="1:7" x14ac:dyDescent="0.25">
      <c r="A41" t="s">
        <v>40</v>
      </c>
      <c r="B41" t="s">
        <v>1003</v>
      </c>
      <c r="C41" t="str">
        <f t="shared" si="0"/>
        <v>Electronics (Computing Devices)</v>
      </c>
      <c r="D41" t="str">
        <f>IF(B41="Smartphone",D42,
IF(B41="Smartwatch",
"Apple",
IF(B41="Laptop",
" Apple",
IF(B41="Desktop PC",
"Lenovo",
IF(B41="Tablet",
"Samsung",
IF(B41="Headphone",
"Sony",
IF(B41="Camera",
"Sony",
IF(B41="Printer",
"HP",
IF(B41="External Hard Disk",
"Western Digital",
"Other")))))))))</f>
        <v>Other</v>
      </c>
      <c r="E41" t="str">
        <f t="shared" si="3"/>
        <v>Ingram Micron India</v>
      </c>
      <c r="F41">
        <f t="shared" si="1"/>
        <v>35000</v>
      </c>
      <c r="G41">
        <f t="shared" si="2"/>
        <v>38500</v>
      </c>
    </row>
    <row r="42" spans="1:7" x14ac:dyDescent="0.25">
      <c r="A42" t="s">
        <v>41</v>
      </c>
      <c r="B42" t="s">
        <v>1010</v>
      </c>
      <c r="C42" t="str">
        <f t="shared" si="0"/>
        <v>Office Equipments</v>
      </c>
      <c r="D42" t="str">
        <f>IF(B42="Smartphone",D43,
IF(B42="Smartwatch",
"Apple",
IF(B42="Laptop",
" Apple",
IF(B42="Desktop PC",
"Lenovo",
IF(B42="Tablet",
"Samsung",
IF(B42="Headphone",
"Sony",
IF(B42="Camera",
"Sony",
IF(B42="Printer",
"HP",
IF(B42="External Hard Disk",
"Western Digital",
"Other")))))))))</f>
        <v>Sony</v>
      </c>
      <c r="E42" t="str">
        <f t="shared" si="3"/>
        <v>Supertron Electronics</v>
      </c>
      <c r="F42">
        <f t="shared" si="1"/>
        <v>60000</v>
      </c>
      <c r="G42">
        <f t="shared" si="2"/>
        <v>66000</v>
      </c>
    </row>
    <row r="43" spans="1:7" x14ac:dyDescent="0.25">
      <c r="A43" t="s">
        <v>42</v>
      </c>
      <c r="B43" t="s">
        <v>1004</v>
      </c>
      <c r="C43" t="str">
        <f t="shared" si="0"/>
        <v>Electronics (Computing Devices)</v>
      </c>
      <c r="D43" t="str">
        <f>IF(B43="Smartphone",D44,
IF(B43="Smartwatch",
"Apple",
IF(B43="Laptop",
" Apple",
IF(B43="Desktop PC",
"Lenovo",
IF(B43="Tablet",
"Samsung",
IF(B43="Headphone",
"Sony",
IF(B43="Camera",
"Sony",
IF(B43="Printer",
"HP",
IF(B43="External Hard Disk",
"Western Digital",
"Other")))))))))</f>
        <v xml:space="preserve"> Apple</v>
      </c>
      <c r="E43" t="str">
        <f t="shared" si="3"/>
        <v>Ingram Micron India</v>
      </c>
      <c r="F43">
        <f t="shared" si="1"/>
        <v>35000</v>
      </c>
      <c r="G43">
        <f t="shared" si="2"/>
        <v>38500</v>
      </c>
    </row>
    <row r="44" spans="1:7" x14ac:dyDescent="0.25">
      <c r="A44" t="s">
        <v>43</v>
      </c>
      <c r="B44" t="s">
        <v>1005</v>
      </c>
      <c r="C44" t="str">
        <f t="shared" si="0"/>
        <v>Electronics (Computing Devices)</v>
      </c>
      <c r="D44" t="str">
        <f>IF(B44="Smartphone",D45,
IF(B44="Smartwatch",
"Apple",
IF(B44="Laptop",
" Apple",
IF(B44="Desktop PC",
"Lenovo",
IF(B44="Tablet",
"Samsung",
IF(B44="Headphone",
"Sony",
IF(B44="Camera",
"Sony",
IF(B44="Printer",
"HP",
IF(B44="External Hard Disk",
"Western Digital",
"Other")))))))))</f>
        <v>Samsung</v>
      </c>
      <c r="E44" t="str">
        <f t="shared" si="3"/>
        <v>Rashi Peripherals</v>
      </c>
      <c r="F44">
        <f t="shared" si="1"/>
        <v>30000</v>
      </c>
      <c r="G44">
        <f t="shared" si="2"/>
        <v>33000</v>
      </c>
    </row>
    <row r="45" spans="1:7" x14ac:dyDescent="0.25">
      <c r="A45" t="s">
        <v>44</v>
      </c>
      <c r="B45" t="s">
        <v>1010</v>
      </c>
      <c r="C45" t="str">
        <f t="shared" si="0"/>
        <v>Office Equipments</v>
      </c>
      <c r="D45" t="str">
        <f>IF(B45="Smartphone",D46,
IF(B45="Smartwatch",
"Apple",
IF(B45="Laptop",
" Apple",
IF(B45="Desktop PC",
"Lenovo",
IF(B45="Tablet",
"Samsung",
IF(B45="Headphone",
"Sony",
IF(B45="Camera",
"Sony",
IF(B45="Printer",
"HP",
IF(B45="External Hard Disk",
"Western Digital",
"Other")))))))))</f>
        <v>Sony</v>
      </c>
      <c r="E45" t="str">
        <f t="shared" si="3"/>
        <v>Supertron Electronics</v>
      </c>
      <c r="F45">
        <f t="shared" si="1"/>
        <v>60000</v>
      </c>
      <c r="G45">
        <f t="shared" si="2"/>
        <v>66000</v>
      </c>
    </row>
    <row r="46" spans="1:7" x14ac:dyDescent="0.25">
      <c r="A46" t="s">
        <v>45</v>
      </c>
      <c r="B46" t="s">
        <v>1001</v>
      </c>
      <c r="C46" t="str">
        <f t="shared" si="0"/>
        <v>Mobile and Wearables</v>
      </c>
      <c r="D46" t="str">
        <f>IF(B46="Smartphone",D47,
IF(B46="Smartwatch",
"Apple",
IF(B46="Laptop",
" Apple",
IF(B46="Desktop PC",
"Lenovo",
IF(B46="Tablet",
"Samsung",
IF(B46="Headphone",
"Sony",
IF(B46="Camera",
"Sony",
IF(B46="Printer",
"HP",
IF(B46="External Hard Disk",
"Western Digital",
"Other")))))))))</f>
        <v>Apple</v>
      </c>
      <c r="E46" t="str">
        <f t="shared" si="3"/>
        <v>Redington India</v>
      </c>
      <c r="F46">
        <f t="shared" si="1"/>
        <v>40000</v>
      </c>
      <c r="G46">
        <f t="shared" si="2"/>
        <v>44000</v>
      </c>
    </row>
    <row r="47" spans="1:7" x14ac:dyDescent="0.25">
      <c r="A47" t="s">
        <v>46</v>
      </c>
      <c r="B47" t="s">
        <v>1002</v>
      </c>
      <c r="C47" t="str">
        <f t="shared" si="0"/>
        <v>Electronics (Computing Devices)</v>
      </c>
      <c r="D47" t="str">
        <f>IF(B47="Smartphone",D48,
IF(B47="Smartwatch",
"Apple",
IF(B47="Laptop",
" Apple",
IF(B47="Desktop PC",
"Lenovo",
IF(B47="Tablet",
"Samsung",
IF(B47="Headphone",
"Sony",
IF(B47="Camera",
"Sony",
IF(B47="Printer",
"HP",
IF(B47="External Hard Disk",
"Western Digital",
"Other")))))))))</f>
        <v>Lenovo</v>
      </c>
      <c r="E47" t="str">
        <f t="shared" si="3"/>
        <v>Savex Technologies</v>
      </c>
      <c r="F47">
        <f t="shared" si="1"/>
        <v>45000</v>
      </c>
      <c r="G47">
        <f t="shared" si="2"/>
        <v>49500.000000000007</v>
      </c>
    </row>
    <row r="48" spans="1:7" x14ac:dyDescent="0.25">
      <c r="A48" t="s">
        <v>47</v>
      </c>
      <c r="B48" t="s">
        <v>1001</v>
      </c>
      <c r="C48" t="str">
        <f t="shared" si="0"/>
        <v>Mobile and Wearables</v>
      </c>
      <c r="D48" t="str">
        <f>IF(B48="Smartphone",D49,
IF(B48="Smartwatch",
"Apple",
IF(B48="Laptop",
" Apple",
IF(B48="Desktop PC",
"Lenovo",
IF(B48="Tablet",
"Samsung",
IF(B48="Headphone",
"Sony",
IF(B48="Camera",
"Sony",
IF(B48="Printer",
"HP",
IF(B48="External Hard Disk",
"Western Digital",
"Other")))))))))</f>
        <v>Apple</v>
      </c>
      <c r="E48" t="str">
        <f t="shared" si="3"/>
        <v>Redington India</v>
      </c>
      <c r="F48">
        <f t="shared" si="1"/>
        <v>40000</v>
      </c>
      <c r="G48">
        <f t="shared" si="2"/>
        <v>44000</v>
      </c>
    </row>
    <row r="49" spans="1:7" x14ac:dyDescent="0.25">
      <c r="A49" t="s">
        <v>48</v>
      </c>
      <c r="B49" t="s">
        <v>1001</v>
      </c>
      <c r="C49" t="str">
        <f t="shared" si="0"/>
        <v>Mobile and Wearables</v>
      </c>
      <c r="D49" t="str">
        <f>IF(B49="Smartphone",D50,
IF(B49="Smartwatch",
"Apple",
IF(B49="Laptop",
" Apple",
IF(B49="Desktop PC",
"Lenovo",
IF(B49="Tablet",
"Samsung",
IF(B49="Headphone",
"Sony",
IF(B49="Camera",
"Sony",
IF(B49="Printer",
"HP",
IF(B49="External Hard Disk",
"Western Digital",
"Other")))))))))</f>
        <v>Apple</v>
      </c>
      <c r="E49" t="str">
        <f t="shared" si="3"/>
        <v>Redington India</v>
      </c>
      <c r="F49">
        <f t="shared" si="1"/>
        <v>40000</v>
      </c>
      <c r="G49">
        <f t="shared" si="2"/>
        <v>44000</v>
      </c>
    </row>
    <row r="50" spans="1:7" x14ac:dyDescent="0.25">
      <c r="A50" t="s">
        <v>49</v>
      </c>
      <c r="B50" t="s">
        <v>1009</v>
      </c>
      <c r="C50" t="str">
        <f t="shared" si="0"/>
        <v>Office Equipments</v>
      </c>
      <c r="D50" t="str">
        <f>IF(B50="Smartphone",D51,
IF(B50="Smartwatch",
"Apple",
IF(B50="Laptop",
" Apple",
IF(B50="Desktop PC",
"Lenovo",
IF(B50="Tablet",
"Samsung",
IF(B50="Headphone",
"Sony",
IF(B50="Camera",
"Sony",
IF(B50="Printer",
"HP",
IF(B50="External Hard Disk",
"Western Digital",
"Other")))))))))</f>
        <v>HP</v>
      </c>
      <c r="E50" t="str">
        <f t="shared" si="3"/>
        <v>Savex Technologies</v>
      </c>
      <c r="F50">
        <f t="shared" si="1"/>
        <v>40000</v>
      </c>
      <c r="G50">
        <f t="shared" si="2"/>
        <v>44000</v>
      </c>
    </row>
    <row r="51" spans="1:7" x14ac:dyDescent="0.25">
      <c r="A51" t="s">
        <v>50</v>
      </c>
      <c r="B51" t="s">
        <v>1004</v>
      </c>
      <c r="C51" t="str">
        <f t="shared" si="0"/>
        <v>Electronics (Computing Devices)</v>
      </c>
      <c r="D51" t="str">
        <f>IF(B51="Smartphone",D52,
IF(B51="Smartwatch",
"Apple",
IF(B51="Laptop",
" Apple",
IF(B51="Desktop PC",
"Lenovo",
IF(B51="Tablet",
"Samsung",
IF(B51="Headphone",
"Sony",
IF(B51="Camera",
"Sony",
IF(B51="Printer",
"HP",
IF(B51="External Hard Disk",
"Western Digital",
"Other")))))))))</f>
        <v xml:space="preserve"> Apple</v>
      </c>
      <c r="E51" t="str">
        <f t="shared" si="3"/>
        <v>Ingram Micron India</v>
      </c>
      <c r="F51">
        <f t="shared" si="1"/>
        <v>35000</v>
      </c>
      <c r="G51">
        <f t="shared" si="2"/>
        <v>38500</v>
      </c>
    </row>
    <row r="52" spans="1:7" x14ac:dyDescent="0.25">
      <c r="A52" t="s">
        <v>51</v>
      </c>
      <c r="B52" t="s">
        <v>1009</v>
      </c>
      <c r="C52" t="str">
        <f t="shared" si="0"/>
        <v>Office Equipments</v>
      </c>
      <c r="D52" t="str">
        <f>IF(B52="Smartphone",D53,
IF(B52="Smartwatch",
"Apple",
IF(B52="Laptop",
" Apple",
IF(B52="Desktop PC",
"Lenovo",
IF(B52="Tablet",
"Samsung",
IF(B52="Headphone",
"Sony",
IF(B52="Camera",
"Sony",
IF(B52="Printer",
"HP",
IF(B52="External Hard Disk",
"Western Digital",
"Other")))))))))</f>
        <v>HP</v>
      </c>
      <c r="E52" t="str">
        <f t="shared" si="3"/>
        <v>Savex Technologies</v>
      </c>
      <c r="F52">
        <f t="shared" si="1"/>
        <v>40000</v>
      </c>
      <c r="G52">
        <f t="shared" si="2"/>
        <v>44000</v>
      </c>
    </row>
    <row r="53" spans="1:7" x14ac:dyDescent="0.25">
      <c r="A53" t="s">
        <v>52</v>
      </c>
      <c r="B53" t="s">
        <v>1007</v>
      </c>
      <c r="C53" t="str">
        <f t="shared" si="0"/>
        <v>Mobile and Wearables</v>
      </c>
      <c r="D53" t="str">
        <f>IF(B53="Smartphone",D54,
IF(B53="Smartwatch",
"Apple",
IF(B53="Laptop",
" Apple",
IF(B53="Desktop PC",
"Lenovo",
IF(B53="Tablet",
"Samsung",
IF(B53="Headphone",
"Sony",
IF(B53="Camera",
"Sony",
IF(B53="Printer",
"HP",
IF(B53="External Hard Disk",
"Western Digital",
"Other")))))))))</f>
        <v>Samsung</v>
      </c>
      <c r="E53" t="str">
        <f t="shared" si="3"/>
        <v>Rashi Peripherals</v>
      </c>
      <c r="F53">
        <f t="shared" si="1"/>
        <v>30000</v>
      </c>
      <c r="G53">
        <f t="shared" si="2"/>
        <v>33000</v>
      </c>
    </row>
    <row r="54" spans="1:7" x14ac:dyDescent="0.25">
      <c r="A54" t="s">
        <v>53</v>
      </c>
      <c r="B54" t="s">
        <v>1005</v>
      </c>
      <c r="C54" t="str">
        <f t="shared" si="0"/>
        <v>Electronics (Computing Devices)</v>
      </c>
      <c r="D54" t="str">
        <f>IF(B54="Smartphone",D55,
IF(B54="Smartwatch",
"Apple",
IF(B54="Laptop",
" Apple",
IF(B54="Desktop PC",
"Lenovo",
IF(B54="Tablet",
"Samsung",
IF(B54="Headphone",
"Sony",
IF(B54="Camera",
"Sony",
IF(B54="Printer",
"HP",
IF(B54="External Hard Disk",
"Western Digital",
"Other")))))))))</f>
        <v>Samsung</v>
      </c>
      <c r="E54" t="str">
        <f t="shared" si="3"/>
        <v>Rashi Peripherals</v>
      </c>
      <c r="F54">
        <f t="shared" si="1"/>
        <v>30000</v>
      </c>
      <c r="G54">
        <f t="shared" si="2"/>
        <v>33000</v>
      </c>
    </row>
    <row r="55" spans="1:7" x14ac:dyDescent="0.25">
      <c r="A55" t="s">
        <v>54</v>
      </c>
      <c r="B55" t="s">
        <v>1002</v>
      </c>
      <c r="C55" t="str">
        <f t="shared" si="0"/>
        <v>Electronics (Computing Devices)</v>
      </c>
      <c r="D55" t="str">
        <f>IF(B55="Smartphone",D56,
IF(B55="Smartwatch",
"Apple",
IF(B55="Laptop",
" Apple",
IF(B55="Desktop PC",
"Lenovo",
IF(B55="Tablet",
"Samsung",
IF(B55="Headphone",
"Sony",
IF(B55="Camera",
"Sony",
IF(B55="Printer",
"HP",
IF(B55="External Hard Disk",
"Western Digital",
"Other")))))))))</f>
        <v>Lenovo</v>
      </c>
      <c r="E55" t="str">
        <f t="shared" si="3"/>
        <v>Savex Technologies</v>
      </c>
      <c r="F55">
        <f t="shared" si="1"/>
        <v>45000</v>
      </c>
      <c r="G55">
        <f t="shared" si="2"/>
        <v>49500.000000000007</v>
      </c>
    </row>
    <row r="56" spans="1:7" x14ac:dyDescent="0.25">
      <c r="A56" t="s">
        <v>55</v>
      </c>
      <c r="B56" t="s">
        <v>1004</v>
      </c>
      <c r="C56" t="str">
        <f t="shared" si="0"/>
        <v>Electronics (Computing Devices)</v>
      </c>
      <c r="D56" t="str">
        <f>IF(B56="Smartphone",D57,
IF(B56="Smartwatch",
"Apple",
IF(B56="Laptop",
" Apple",
IF(B56="Desktop PC",
"Lenovo",
IF(B56="Tablet",
"Samsung",
IF(B56="Headphone",
"Sony",
IF(B56="Camera",
"Sony",
IF(B56="Printer",
"HP",
IF(B56="External Hard Disk",
"Western Digital",
"Other")))))))))</f>
        <v xml:space="preserve"> Apple</v>
      </c>
      <c r="E56" t="str">
        <f t="shared" si="3"/>
        <v>Ingram Micron India</v>
      </c>
      <c r="F56">
        <f t="shared" si="1"/>
        <v>35000</v>
      </c>
      <c r="G56">
        <f t="shared" si="2"/>
        <v>38500</v>
      </c>
    </row>
    <row r="57" spans="1:7" x14ac:dyDescent="0.25">
      <c r="A57" t="s">
        <v>56</v>
      </c>
      <c r="B57" t="s">
        <v>1013</v>
      </c>
      <c r="C57" t="str">
        <f t="shared" si="0"/>
        <v>Storage Devices</v>
      </c>
      <c r="D57" t="str">
        <f>IF(B57="Smartphone",D58,
IF(B57="Smartwatch",
"Apple",
IF(B57="Laptop",
" Apple",
IF(B57="Desktop PC",
"Lenovo",
IF(B57="Tablet",
"Samsung",
IF(B57="Headphone",
"Sony",
IF(B57="Camera",
"Sony",
IF(B57="Printer",
"HP",
IF(B57="External Hard Disk",
"Western Digital",
"Other")))))))))</f>
        <v>Western Digital</v>
      </c>
      <c r="E57" t="str">
        <f t="shared" si="3"/>
        <v>Ingram Micron India</v>
      </c>
      <c r="F57">
        <f t="shared" si="1"/>
        <v>35000</v>
      </c>
      <c r="G57">
        <f t="shared" si="2"/>
        <v>38500</v>
      </c>
    </row>
    <row r="58" spans="1:7" x14ac:dyDescent="0.25">
      <c r="A58" t="s">
        <v>57</v>
      </c>
      <c r="B58" t="s">
        <v>1010</v>
      </c>
      <c r="C58" t="str">
        <f t="shared" si="0"/>
        <v>Office Equipments</v>
      </c>
      <c r="D58" t="str">
        <f>IF(B58="Smartphone",D59,
IF(B58="Smartwatch",
"Apple",
IF(B58="Laptop",
" Apple",
IF(B58="Desktop PC",
"Lenovo",
IF(B58="Tablet",
"Samsung",
IF(B58="Headphone",
"Sony",
IF(B58="Camera",
"Sony",
IF(B58="Printer",
"HP",
IF(B58="External Hard Disk",
"Western Digital",
"Other")))))))))</f>
        <v>Sony</v>
      </c>
      <c r="E58" t="str">
        <f t="shared" si="3"/>
        <v>Supertron Electronics</v>
      </c>
      <c r="F58">
        <f t="shared" si="1"/>
        <v>60000</v>
      </c>
      <c r="G58">
        <f t="shared" si="2"/>
        <v>66000</v>
      </c>
    </row>
    <row r="59" spans="1:7" x14ac:dyDescent="0.25">
      <c r="A59" t="s">
        <v>58</v>
      </c>
      <c r="B59" t="s">
        <v>1003</v>
      </c>
      <c r="C59" t="str">
        <f t="shared" si="0"/>
        <v>Electronics (Computing Devices)</v>
      </c>
      <c r="D59" t="str">
        <f>IF(B59="Smartphone",D60,
IF(B59="Smartwatch",
"Apple",
IF(B59="Laptop",
" Apple",
IF(B59="Desktop PC",
"Lenovo",
IF(B59="Tablet",
"Samsung",
IF(B59="Headphone",
"Sony",
IF(B59="Camera",
"Sony",
IF(B59="Printer",
"HP",
IF(B59="External Hard Disk",
"Western Digital",
"Other")))))))))</f>
        <v>Other</v>
      </c>
      <c r="E59" t="str">
        <f t="shared" si="3"/>
        <v>Ingram Micron India</v>
      </c>
      <c r="F59">
        <f t="shared" si="1"/>
        <v>35000</v>
      </c>
      <c r="G59">
        <f t="shared" si="2"/>
        <v>38500</v>
      </c>
    </row>
    <row r="60" spans="1:7" x14ac:dyDescent="0.25">
      <c r="A60" t="s">
        <v>59</v>
      </c>
      <c r="B60" t="s">
        <v>1007</v>
      </c>
      <c r="C60" t="str">
        <f t="shared" si="0"/>
        <v>Mobile and Wearables</v>
      </c>
      <c r="D60" t="str">
        <f>IF(B60="Smartphone",D61,
IF(B60="Smartwatch",
"Apple",
IF(B60="Laptop",
" Apple",
IF(B60="Desktop PC",
"Lenovo",
IF(B60="Tablet",
"Samsung",
IF(B60="Headphone",
"Sony",
IF(B60="Camera",
"Sony",
IF(B60="Printer",
"HP",
IF(B60="External Hard Disk",
"Western Digital",
"Other")))))))))</f>
        <v>Lenovo</v>
      </c>
      <c r="E60" t="str">
        <f t="shared" si="3"/>
        <v>Savex Technologies</v>
      </c>
      <c r="F60">
        <f t="shared" si="1"/>
        <v>45000</v>
      </c>
      <c r="G60">
        <f t="shared" si="2"/>
        <v>49500.000000000007</v>
      </c>
    </row>
    <row r="61" spans="1:7" x14ac:dyDescent="0.25">
      <c r="A61" t="s">
        <v>60</v>
      </c>
      <c r="B61" t="s">
        <v>1002</v>
      </c>
      <c r="C61" t="str">
        <f t="shared" si="0"/>
        <v>Electronics (Computing Devices)</v>
      </c>
      <c r="D61" t="str">
        <f>IF(B61="Smartphone",D62,
IF(B61="Smartwatch",
"Apple",
IF(B61="Laptop",
" Apple",
IF(B61="Desktop PC",
"Lenovo",
IF(B61="Tablet",
"Samsung",
IF(B61="Headphone",
"Sony",
IF(B61="Camera",
"Sony",
IF(B61="Printer",
"HP",
IF(B61="External Hard Disk",
"Western Digital",
"Other")))))))))</f>
        <v>Lenovo</v>
      </c>
      <c r="E61" t="str">
        <f t="shared" si="3"/>
        <v>Savex Technologies</v>
      </c>
      <c r="F61">
        <f t="shared" si="1"/>
        <v>45000</v>
      </c>
      <c r="G61">
        <f t="shared" si="2"/>
        <v>49500.000000000007</v>
      </c>
    </row>
    <row r="62" spans="1:7" x14ac:dyDescent="0.25">
      <c r="A62" t="s">
        <v>61</v>
      </c>
      <c r="B62" t="s">
        <v>1005</v>
      </c>
      <c r="C62" t="str">
        <f t="shared" si="0"/>
        <v>Electronics (Computing Devices)</v>
      </c>
      <c r="D62" t="str">
        <f>IF(B62="Smartphone",D63,
IF(B62="Smartwatch",
"Apple",
IF(B62="Laptop",
" Apple",
IF(B62="Desktop PC",
"Lenovo",
IF(B62="Tablet",
"Samsung",
IF(B62="Headphone",
"Sony",
IF(B62="Camera",
"Sony",
IF(B62="Printer",
"HP",
IF(B62="External Hard Disk",
"Western Digital",
"Other")))))))))</f>
        <v>Samsung</v>
      </c>
      <c r="E62" t="str">
        <f t="shared" si="3"/>
        <v>Rashi Peripherals</v>
      </c>
      <c r="F62">
        <f t="shared" si="1"/>
        <v>30000</v>
      </c>
      <c r="G62">
        <f t="shared" si="2"/>
        <v>33000</v>
      </c>
    </row>
    <row r="63" spans="1:7" x14ac:dyDescent="0.25">
      <c r="A63" t="s">
        <v>62</v>
      </c>
      <c r="B63" t="s">
        <v>1013</v>
      </c>
      <c r="C63" t="str">
        <f t="shared" si="0"/>
        <v>Storage Devices</v>
      </c>
      <c r="D63" t="str">
        <f>IF(B63="Smartphone",D64,
IF(B63="Smartwatch",
"Apple",
IF(B63="Laptop",
" Apple",
IF(B63="Desktop PC",
"Lenovo",
IF(B63="Tablet",
"Samsung",
IF(B63="Headphone",
"Sony",
IF(B63="Camera",
"Sony",
IF(B63="Printer",
"HP",
IF(B63="External Hard Disk",
"Western Digital",
"Other")))))))))</f>
        <v>Western Digital</v>
      </c>
      <c r="E63" t="str">
        <f t="shared" si="3"/>
        <v>Ingram Micron India</v>
      </c>
      <c r="F63">
        <f t="shared" si="1"/>
        <v>35000</v>
      </c>
      <c r="G63">
        <f t="shared" si="2"/>
        <v>38500</v>
      </c>
    </row>
    <row r="64" spans="1:7" x14ac:dyDescent="0.25">
      <c r="A64" t="s">
        <v>63</v>
      </c>
      <c r="B64" t="s">
        <v>1002</v>
      </c>
      <c r="C64" t="str">
        <f t="shared" si="0"/>
        <v>Electronics (Computing Devices)</v>
      </c>
      <c r="D64" t="str">
        <f>IF(B64="Smartphone",D65,
IF(B64="Smartwatch",
"Apple",
IF(B64="Laptop",
" Apple",
IF(B64="Desktop PC",
"Lenovo",
IF(B64="Tablet",
"Samsung",
IF(B64="Headphone",
"Sony",
IF(B64="Camera",
"Sony",
IF(B64="Printer",
"HP",
IF(B64="External Hard Disk",
"Western Digital",
"Other")))))))))</f>
        <v>Lenovo</v>
      </c>
      <c r="E64" t="str">
        <f t="shared" si="3"/>
        <v>Savex Technologies</v>
      </c>
      <c r="F64">
        <f t="shared" si="1"/>
        <v>45000</v>
      </c>
      <c r="G64">
        <f t="shared" si="2"/>
        <v>49500.000000000007</v>
      </c>
    </row>
    <row r="65" spans="1:7" x14ac:dyDescent="0.25">
      <c r="A65" t="s">
        <v>64</v>
      </c>
      <c r="B65" t="s">
        <v>1001</v>
      </c>
      <c r="C65" t="str">
        <f t="shared" si="0"/>
        <v>Mobile and Wearables</v>
      </c>
      <c r="D65" t="str">
        <f>IF(B65="Smartphone",D66,
IF(B65="Smartwatch",
"Apple",
IF(B65="Laptop",
" Apple",
IF(B65="Desktop PC",
"Lenovo",
IF(B65="Tablet",
"Samsung",
IF(B65="Headphone",
"Sony",
IF(B65="Camera",
"Sony",
IF(B65="Printer",
"HP",
IF(B65="External Hard Disk",
"Western Digital",
"Other")))))))))</f>
        <v>Apple</v>
      </c>
      <c r="E65" t="str">
        <f t="shared" si="3"/>
        <v>Redington India</v>
      </c>
      <c r="F65">
        <f t="shared" si="1"/>
        <v>40000</v>
      </c>
      <c r="G65">
        <f t="shared" si="2"/>
        <v>44000</v>
      </c>
    </row>
    <row r="66" spans="1:7" x14ac:dyDescent="0.25">
      <c r="A66" t="s">
        <v>65</v>
      </c>
      <c r="B66" t="s">
        <v>1001</v>
      </c>
      <c r="C66" t="str">
        <f t="shared" si="0"/>
        <v>Mobile and Wearables</v>
      </c>
      <c r="D66" t="str">
        <f>IF(B66="Smartphone",D67,
IF(B66="Smartwatch",
"Apple",
IF(B66="Laptop",
" Apple",
IF(B66="Desktop PC",
"Lenovo",
IF(B66="Tablet",
"Samsung",
IF(B66="Headphone",
"Sony",
IF(B66="Camera",
"Sony",
IF(B66="Printer",
"HP",
IF(B66="External Hard Disk",
"Western Digital",
"Other")))))))))</f>
        <v>Apple</v>
      </c>
      <c r="E66" t="str">
        <f t="shared" si="3"/>
        <v>Redington India</v>
      </c>
      <c r="F66">
        <f t="shared" si="1"/>
        <v>40000</v>
      </c>
      <c r="G66">
        <f t="shared" si="2"/>
        <v>44000</v>
      </c>
    </row>
    <row r="67" spans="1:7" x14ac:dyDescent="0.25">
      <c r="A67" t="s">
        <v>66</v>
      </c>
      <c r="B67" t="s">
        <v>1003</v>
      </c>
      <c r="C67" t="str">
        <f t="shared" ref="C67:C130" si="4">IF(OR(B67="Laptop",B67="Desktop PC",B67="Tablet",B67="E-Reader"),
"Electronics (Computing Devices)",
IF(OR(B67="Smartphone",B67="Smartwatch"),
"Mobile and Wearables",
IF(B67="Headphone",
"Audio Devices",
IF(OR(B67="Printer",B67="Camera"),
"Office Equipments",
IF(B67="External Hard Disk",
"Storage Devices",
"Other")))))</f>
        <v>Electronics (Computing Devices)</v>
      </c>
      <c r="D67" t="str">
        <f>IF(B67="Smartphone",D68,
IF(B67="Smartwatch",
"Apple",
IF(B67="Laptop",
" Apple",
IF(B67="Desktop PC",
"Lenovo",
IF(B67="Tablet",
"Samsung",
IF(B67="Headphone",
"Sony",
IF(B67="Camera",
"Sony",
IF(B67="Printer",
"HP",
IF(B67="External Hard Disk",
"Western Digital",
"Other")))))))))</f>
        <v>Other</v>
      </c>
      <c r="E67" t="str">
        <f t="shared" ref="E67:E130" si="5">IF(D67="Apple",
"Redington India",
IF(D67="Samsung",
"Rashi Peripherals",
IF(D67="Sony",
"Supertron Electronics",
IF(OR(D67="Lenovo",D67="HP",D67="Dell"),
"Savex Technologies",
IF(C67="Printer",
"Rashi Peripherals",
IF(C67="Camera",
"Redington India",
IF(C67="External Hard Disk",
"Supertron Electronics",
"Ingram Micron India")))))))</f>
        <v>Ingram Micron India</v>
      </c>
      <c r="F67">
        <f t="shared" ref="F67:F130" si="6">IF(D67="Apple",
IF(C67="Smartphone",95000,
IF(C67="Tablet",75000,
IF(C67="Laptop",150000,
IF(C67="Smartwatch",90000,40000)))),
IF(D67="Samsung",
IF(C67="Smartphone",55000,
IF(C67="Tablet",40000,
IF(C67="Smartwatch",25000,30000))),
IF(D67="Lenovo",
IF(C67="Laptop",85000,
IF(C67="Desktop PC",70000,45000)),
IF(D67="HP",
IF(C67="Printer",30000,
IF(C67="Laptop",80000,40000)),
IF(D67="Sony",
IF(C67="Headphone",15000,
IF(C67="Camera",120000,60000)),
IF(C67="External Hard Disk",
IF(D67="Seagate",7000,
IF(D67="Western Digital",8000,7500)),
35000))))))</f>
        <v>35000</v>
      </c>
      <c r="G67">
        <f t="shared" ref="G67:G130" si="7">IF(C67="Smartphone",F67*1.1,
IF(C67="Laptop",F67*1.08,
IF(C67="Tablet",F67*1.12,
IF(C67="Smartwatch",F67*1.15,
IF(C67="Desktop PC",F67*1.07,
IF(C67="Printer",F67*1.18,
IF(C67="Camera",F67*1.12,
IF(C67="Headphone",F67*1.25,
IF(C67="External Hard Disk",F67*1.2,
F67*1.1)))))))))</f>
        <v>38500</v>
      </c>
    </row>
    <row r="68" spans="1:7" x14ac:dyDescent="0.25">
      <c r="A68" t="s">
        <v>67</v>
      </c>
      <c r="B68" t="s">
        <v>1005</v>
      </c>
      <c r="C68" t="str">
        <f t="shared" si="4"/>
        <v>Electronics (Computing Devices)</v>
      </c>
      <c r="D68" t="str">
        <f>IF(B68="Smartphone",D69,
IF(B68="Smartwatch",
"Apple",
IF(B68="Laptop",
" Apple",
IF(B68="Desktop PC",
"Lenovo",
IF(B68="Tablet",
"Samsung",
IF(B68="Headphone",
"Sony",
IF(B68="Camera",
"Sony",
IF(B68="Printer",
"HP",
IF(B68="External Hard Disk",
"Western Digital",
"Other")))))))))</f>
        <v>Samsung</v>
      </c>
      <c r="E68" t="str">
        <f t="shared" si="5"/>
        <v>Rashi Peripherals</v>
      </c>
      <c r="F68">
        <f t="shared" si="6"/>
        <v>30000</v>
      </c>
      <c r="G68">
        <f t="shared" si="7"/>
        <v>33000</v>
      </c>
    </row>
    <row r="69" spans="1:7" x14ac:dyDescent="0.25">
      <c r="A69" t="s">
        <v>68</v>
      </c>
      <c r="B69" t="s">
        <v>1013</v>
      </c>
      <c r="C69" t="str">
        <f t="shared" si="4"/>
        <v>Storage Devices</v>
      </c>
      <c r="D69" t="str">
        <f>IF(B69="Smartphone",D70,
IF(B69="Smartwatch",
"Apple",
IF(B69="Laptop",
" Apple",
IF(B69="Desktop PC",
"Lenovo",
IF(B69="Tablet",
"Samsung",
IF(B69="Headphone",
"Sony",
IF(B69="Camera",
"Sony",
IF(B69="Printer",
"HP",
IF(B69="External Hard Disk",
"Western Digital",
"Other")))))))))</f>
        <v>Western Digital</v>
      </c>
      <c r="E69" t="str">
        <f t="shared" si="5"/>
        <v>Ingram Micron India</v>
      </c>
      <c r="F69">
        <f t="shared" si="6"/>
        <v>35000</v>
      </c>
      <c r="G69">
        <f t="shared" si="7"/>
        <v>38500</v>
      </c>
    </row>
    <row r="70" spans="1:7" x14ac:dyDescent="0.25">
      <c r="A70" t="s">
        <v>69</v>
      </c>
      <c r="B70" t="s">
        <v>1001</v>
      </c>
      <c r="C70" t="str">
        <f t="shared" si="4"/>
        <v>Mobile and Wearables</v>
      </c>
      <c r="D70" t="str">
        <f>IF(B70="Smartphone",D71,
IF(B70="Smartwatch",
"Apple",
IF(B70="Laptop",
" Apple",
IF(B70="Desktop PC",
"Lenovo",
IF(B70="Tablet",
"Samsung",
IF(B70="Headphone",
"Sony",
IF(B70="Camera",
"Sony",
IF(B70="Printer",
"HP",
IF(B70="External Hard Disk",
"Western Digital",
"Other")))))))))</f>
        <v>Apple</v>
      </c>
      <c r="E70" t="str">
        <f t="shared" si="5"/>
        <v>Redington India</v>
      </c>
      <c r="F70">
        <f t="shared" si="6"/>
        <v>40000</v>
      </c>
      <c r="G70">
        <f t="shared" si="7"/>
        <v>44000</v>
      </c>
    </row>
    <row r="71" spans="1:7" x14ac:dyDescent="0.25">
      <c r="A71" t="s">
        <v>70</v>
      </c>
      <c r="B71" t="s">
        <v>1007</v>
      </c>
      <c r="C71" t="str">
        <f t="shared" si="4"/>
        <v>Mobile and Wearables</v>
      </c>
      <c r="D71" t="str">
        <f>IF(B71="Smartphone",D72,
IF(B71="Smartwatch",
"Apple",
IF(B71="Laptop",
" Apple",
IF(B71="Desktop PC",
"Lenovo",
IF(B71="Tablet",
"Samsung",
IF(B71="Headphone",
"Sony",
IF(B71="Camera",
"Sony",
IF(B71="Printer",
"HP",
IF(B71="External Hard Disk",
"Western Digital",
"Other")))))))))</f>
        <v>Sony</v>
      </c>
      <c r="E71" t="str">
        <f t="shared" si="5"/>
        <v>Supertron Electronics</v>
      </c>
      <c r="F71">
        <f t="shared" si="6"/>
        <v>60000</v>
      </c>
      <c r="G71">
        <f t="shared" si="7"/>
        <v>66000</v>
      </c>
    </row>
    <row r="72" spans="1:7" x14ac:dyDescent="0.25">
      <c r="A72" t="s">
        <v>71</v>
      </c>
      <c r="B72" t="s">
        <v>1012</v>
      </c>
      <c r="C72" t="str">
        <f t="shared" si="4"/>
        <v>Audio Devices</v>
      </c>
      <c r="D72" t="str">
        <f>IF(B72="Smartphone",D73,
IF(B72="Smartwatch",
"Apple",
IF(B72="Laptop",
" Apple",
IF(B72="Desktop PC",
"Lenovo",
IF(B72="Tablet",
"Samsung",
IF(B72="Headphone",
"Sony",
IF(B72="Camera",
"Sony",
IF(B72="Printer",
"HP",
IF(B72="External Hard Disk",
"Western Digital",
"Other")))))))))</f>
        <v>Sony</v>
      </c>
      <c r="E72" t="str">
        <f t="shared" si="5"/>
        <v>Supertron Electronics</v>
      </c>
      <c r="F72">
        <f t="shared" si="6"/>
        <v>60000</v>
      </c>
      <c r="G72">
        <f t="shared" si="7"/>
        <v>66000</v>
      </c>
    </row>
    <row r="73" spans="1:7" x14ac:dyDescent="0.25">
      <c r="A73" t="s">
        <v>72</v>
      </c>
      <c r="B73" t="s">
        <v>1012</v>
      </c>
      <c r="C73" t="str">
        <f t="shared" si="4"/>
        <v>Audio Devices</v>
      </c>
      <c r="D73" t="str">
        <f>IF(B73="Smartphone",D74,
IF(B73="Smartwatch",
"Apple",
IF(B73="Laptop",
" Apple",
IF(B73="Desktop PC",
"Lenovo",
IF(B73="Tablet",
"Samsung",
IF(B73="Headphone",
"Sony",
IF(B73="Camera",
"Sony",
IF(B73="Printer",
"HP",
IF(B73="External Hard Disk",
"Western Digital",
"Other")))))))))</f>
        <v>Sony</v>
      </c>
      <c r="E73" t="str">
        <f t="shared" si="5"/>
        <v>Supertron Electronics</v>
      </c>
      <c r="F73">
        <f t="shared" si="6"/>
        <v>60000</v>
      </c>
      <c r="G73">
        <f t="shared" si="7"/>
        <v>66000</v>
      </c>
    </row>
    <row r="74" spans="1:7" x14ac:dyDescent="0.25">
      <c r="A74" t="s">
        <v>73</v>
      </c>
      <c r="B74" t="s">
        <v>1009</v>
      </c>
      <c r="C74" t="str">
        <f t="shared" si="4"/>
        <v>Office Equipments</v>
      </c>
      <c r="D74" t="str">
        <f>IF(B74="Smartphone",D75,
IF(B74="Smartwatch",
"Apple",
IF(B74="Laptop",
" Apple",
IF(B74="Desktop PC",
"Lenovo",
IF(B74="Tablet",
"Samsung",
IF(B74="Headphone",
"Sony",
IF(B74="Camera",
"Sony",
IF(B74="Printer",
"HP",
IF(B74="External Hard Disk",
"Western Digital",
"Other")))))))))</f>
        <v>HP</v>
      </c>
      <c r="E74" t="str">
        <f t="shared" si="5"/>
        <v>Savex Technologies</v>
      </c>
      <c r="F74">
        <f t="shared" si="6"/>
        <v>40000</v>
      </c>
      <c r="G74">
        <f t="shared" si="7"/>
        <v>44000</v>
      </c>
    </row>
    <row r="75" spans="1:7" x14ac:dyDescent="0.25">
      <c r="A75" t="s">
        <v>74</v>
      </c>
      <c r="B75" t="s">
        <v>1003</v>
      </c>
      <c r="C75" t="str">
        <f t="shared" si="4"/>
        <v>Electronics (Computing Devices)</v>
      </c>
      <c r="D75" t="str">
        <f>IF(B75="Smartphone",D76,
IF(B75="Smartwatch",
"Apple",
IF(B75="Laptop",
" Apple",
IF(B75="Desktop PC",
"Lenovo",
IF(B75="Tablet",
"Samsung",
IF(B75="Headphone",
"Sony",
IF(B75="Camera",
"Sony",
IF(B75="Printer",
"HP",
IF(B75="External Hard Disk",
"Western Digital",
"Other")))))))))</f>
        <v>Other</v>
      </c>
      <c r="E75" t="str">
        <f t="shared" si="5"/>
        <v>Ingram Micron India</v>
      </c>
      <c r="F75">
        <f t="shared" si="6"/>
        <v>35000</v>
      </c>
      <c r="G75">
        <f t="shared" si="7"/>
        <v>38500</v>
      </c>
    </row>
    <row r="76" spans="1:7" x14ac:dyDescent="0.25">
      <c r="A76" t="s">
        <v>75</v>
      </c>
      <c r="B76" t="s">
        <v>1003</v>
      </c>
      <c r="C76" t="str">
        <f t="shared" si="4"/>
        <v>Electronics (Computing Devices)</v>
      </c>
      <c r="D76" t="str">
        <f>IF(B76="Smartphone",D77,
IF(B76="Smartwatch",
"Apple",
IF(B76="Laptop",
" Apple",
IF(B76="Desktop PC",
"Lenovo",
IF(B76="Tablet",
"Samsung",
IF(B76="Headphone",
"Sony",
IF(B76="Camera",
"Sony",
IF(B76="Printer",
"HP",
IF(B76="External Hard Disk",
"Western Digital",
"Other")))))))))</f>
        <v>Other</v>
      </c>
      <c r="E76" t="str">
        <f t="shared" si="5"/>
        <v>Ingram Micron India</v>
      </c>
      <c r="F76">
        <f t="shared" si="6"/>
        <v>35000</v>
      </c>
      <c r="G76">
        <f t="shared" si="7"/>
        <v>38500</v>
      </c>
    </row>
    <row r="77" spans="1:7" x14ac:dyDescent="0.25">
      <c r="A77" t="s">
        <v>76</v>
      </c>
      <c r="B77" t="s">
        <v>1003</v>
      </c>
      <c r="C77" t="str">
        <f t="shared" si="4"/>
        <v>Electronics (Computing Devices)</v>
      </c>
      <c r="D77" t="str">
        <f>IF(B77="Smartphone",D78,
IF(B77="Smartwatch",
"Apple",
IF(B77="Laptop",
" Apple",
IF(B77="Desktop PC",
"Lenovo",
IF(B77="Tablet",
"Samsung",
IF(B77="Headphone",
"Sony",
IF(B77="Camera",
"Sony",
IF(B77="Printer",
"HP",
IF(B77="External Hard Disk",
"Western Digital",
"Other")))))))))</f>
        <v>Other</v>
      </c>
      <c r="E77" t="str">
        <f t="shared" si="5"/>
        <v>Ingram Micron India</v>
      </c>
      <c r="F77">
        <f t="shared" si="6"/>
        <v>35000</v>
      </c>
      <c r="G77">
        <f t="shared" si="7"/>
        <v>38500</v>
      </c>
    </row>
    <row r="78" spans="1:7" x14ac:dyDescent="0.25">
      <c r="A78" t="s">
        <v>77</v>
      </c>
      <c r="B78" t="s">
        <v>1002</v>
      </c>
      <c r="C78" t="str">
        <f t="shared" si="4"/>
        <v>Electronics (Computing Devices)</v>
      </c>
      <c r="D78" t="str">
        <f>IF(B78="Smartphone",D79,
IF(B78="Smartwatch",
"Apple",
IF(B78="Laptop",
" Apple",
IF(B78="Desktop PC",
"Lenovo",
IF(B78="Tablet",
"Samsung",
IF(B78="Headphone",
"Sony",
IF(B78="Camera",
"Sony",
IF(B78="Printer",
"HP",
IF(B78="External Hard Disk",
"Western Digital",
"Other")))))))))</f>
        <v>Lenovo</v>
      </c>
      <c r="E78" t="str">
        <f t="shared" si="5"/>
        <v>Savex Technologies</v>
      </c>
      <c r="F78">
        <f t="shared" si="6"/>
        <v>45000</v>
      </c>
      <c r="G78">
        <f t="shared" si="7"/>
        <v>49500.000000000007</v>
      </c>
    </row>
    <row r="79" spans="1:7" x14ac:dyDescent="0.25">
      <c r="A79" t="s">
        <v>78</v>
      </c>
      <c r="B79" t="s">
        <v>1001</v>
      </c>
      <c r="C79" t="str">
        <f t="shared" si="4"/>
        <v>Mobile and Wearables</v>
      </c>
      <c r="D79" t="str">
        <f>IF(B79="Smartphone",D80,
IF(B79="Smartwatch",
"Apple",
IF(B79="Laptop",
" Apple",
IF(B79="Desktop PC",
"Lenovo",
IF(B79="Tablet",
"Samsung",
IF(B79="Headphone",
"Sony",
IF(B79="Camera",
"Sony",
IF(B79="Printer",
"HP",
IF(B79="External Hard Disk",
"Western Digital",
"Other")))))))))</f>
        <v>Apple</v>
      </c>
      <c r="E79" t="str">
        <f t="shared" si="5"/>
        <v>Redington India</v>
      </c>
      <c r="F79">
        <f t="shared" si="6"/>
        <v>40000</v>
      </c>
      <c r="G79">
        <f t="shared" si="7"/>
        <v>44000</v>
      </c>
    </row>
    <row r="80" spans="1:7" x14ac:dyDescent="0.25">
      <c r="A80" t="s">
        <v>79</v>
      </c>
      <c r="B80" t="s">
        <v>1002</v>
      </c>
      <c r="C80" t="str">
        <f t="shared" si="4"/>
        <v>Electronics (Computing Devices)</v>
      </c>
      <c r="D80" t="str">
        <f>IF(B80="Smartphone",D81,
IF(B80="Smartwatch",
"Apple",
IF(B80="Laptop",
" Apple",
IF(B80="Desktop PC",
"Lenovo",
IF(B80="Tablet",
"Samsung",
IF(B80="Headphone",
"Sony",
IF(B80="Camera",
"Sony",
IF(B80="Printer",
"HP",
IF(B80="External Hard Disk",
"Western Digital",
"Other")))))))))</f>
        <v>Lenovo</v>
      </c>
      <c r="E80" t="str">
        <f t="shared" si="5"/>
        <v>Savex Technologies</v>
      </c>
      <c r="F80">
        <f t="shared" si="6"/>
        <v>45000</v>
      </c>
      <c r="G80">
        <f t="shared" si="7"/>
        <v>49500.000000000007</v>
      </c>
    </row>
    <row r="81" spans="1:7" x14ac:dyDescent="0.25">
      <c r="A81" t="s">
        <v>80</v>
      </c>
      <c r="B81" t="s">
        <v>1002</v>
      </c>
      <c r="C81" t="str">
        <f t="shared" si="4"/>
        <v>Electronics (Computing Devices)</v>
      </c>
      <c r="D81" t="str">
        <f>IF(B81="Smartphone",D82,
IF(B81="Smartwatch",
"Apple",
IF(B81="Laptop",
" Apple",
IF(B81="Desktop PC",
"Lenovo",
IF(B81="Tablet",
"Samsung",
IF(B81="Headphone",
"Sony",
IF(B81="Camera",
"Sony",
IF(B81="Printer",
"HP",
IF(B81="External Hard Disk",
"Western Digital",
"Other")))))))))</f>
        <v>Lenovo</v>
      </c>
      <c r="E81" t="str">
        <f t="shared" si="5"/>
        <v>Savex Technologies</v>
      </c>
      <c r="F81">
        <f t="shared" si="6"/>
        <v>45000</v>
      </c>
      <c r="G81">
        <f t="shared" si="7"/>
        <v>49500.000000000007</v>
      </c>
    </row>
    <row r="82" spans="1:7" x14ac:dyDescent="0.25">
      <c r="A82" t="s">
        <v>81</v>
      </c>
      <c r="B82" t="s">
        <v>1009</v>
      </c>
      <c r="C82" t="str">
        <f t="shared" si="4"/>
        <v>Office Equipments</v>
      </c>
      <c r="D82" t="str">
        <f>IF(B82="Smartphone",D83,
IF(B82="Smartwatch",
"Apple",
IF(B82="Laptop",
" Apple",
IF(B82="Desktop PC",
"Lenovo",
IF(B82="Tablet",
"Samsung",
IF(B82="Headphone",
"Sony",
IF(B82="Camera",
"Sony",
IF(B82="Printer",
"HP",
IF(B82="External Hard Disk",
"Western Digital",
"Other")))))))))</f>
        <v>HP</v>
      </c>
      <c r="E82" t="str">
        <f t="shared" si="5"/>
        <v>Savex Technologies</v>
      </c>
      <c r="F82">
        <f t="shared" si="6"/>
        <v>40000</v>
      </c>
      <c r="G82">
        <f t="shared" si="7"/>
        <v>44000</v>
      </c>
    </row>
    <row r="83" spans="1:7" x14ac:dyDescent="0.25">
      <c r="A83" t="s">
        <v>82</v>
      </c>
      <c r="B83" t="s">
        <v>1013</v>
      </c>
      <c r="C83" t="str">
        <f t="shared" si="4"/>
        <v>Storage Devices</v>
      </c>
      <c r="D83" t="str">
        <f>IF(B83="Smartphone",D84,
IF(B83="Smartwatch",
"Apple",
IF(B83="Laptop",
" Apple",
IF(B83="Desktop PC",
"Lenovo",
IF(B83="Tablet",
"Samsung",
IF(B83="Headphone",
"Sony",
IF(B83="Camera",
"Sony",
IF(B83="Printer",
"HP",
IF(B83="External Hard Disk",
"Western Digital",
"Other")))))))))</f>
        <v>Western Digital</v>
      </c>
      <c r="E83" t="str">
        <f t="shared" si="5"/>
        <v>Ingram Micron India</v>
      </c>
      <c r="F83">
        <f t="shared" si="6"/>
        <v>35000</v>
      </c>
      <c r="G83">
        <f t="shared" si="7"/>
        <v>38500</v>
      </c>
    </row>
    <row r="84" spans="1:7" x14ac:dyDescent="0.25">
      <c r="A84" t="s">
        <v>83</v>
      </c>
      <c r="B84" t="s">
        <v>1013</v>
      </c>
      <c r="C84" t="str">
        <f t="shared" si="4"/>
        <v>Storage Devices</v>
      </c>
      <c r="D84" t="str">
        <f>IF(B84="Smartphone",D85,
IF(B84="Smartwatch",
"Apple",
IF(B84="Laptop",
" Apple",
IF(B84="Desktop PC",
"Lenovo",
IF(B84="Tablet",
"Samsung",
IF(B84="Headphone",
"Sony",
IF(B84="Camera",
"Sony",
IF(B84="Printer",
"HP",
IF(B84="External Hard Disk",
"Western Digital",
"Other")))))))))</f>
        <v>Western Digital</v>
      </c>
      <c r="E84" t="str">
        <f t="shared" si="5"/>
        <v>Ingram Micron India</v>
      </c>
      <c r="F84">
        <f t="shared" si="6"/>
        <v>35000</v>
      </c>
      <c r="G84">
        <f t="shared" si="7"/>
        <v>38500</v>
      </c>
    </row>
    <row r="85" spans="1:7" x14ac:dyDescent="0.25">
      <c r="A85" t="s">
        <v>84</v>
      </c>
      <c r="B85" t="s">
        <v>1004</v>
      </c>
      <c r="C85" t="str">
        <f t="shared" si="4"/>
        <v>Electronics (Computing Devices)</v>
      </c>
      <c r="D85" t="str">
        <f>IF(B85="Smartphone",D86,
IF(B85="Smartwatch",
"Apple",
IF(B85="Laptop",
" Apple",
IF(B85="Desktop PC",
"Lenovo",
IF(B85="Tablet",
"Samsung",
IF(B85="Headphone",
"Sony",
IF(B85="Camera",
"Sony",
IF(B85="Printer",
"HP",
IF(B85="External Hard Disk",
"Western Digital",
"Other")))))))))</f>
        <v xml:space="preserve"> Apple</v>
      </c>
      <c r="E85" t="str">
        <f t="shared" si="5"/>
        <v>Ingram Micron India</v>
      </c>
      <c r="F85">
        <f t="shared" si="6"/>
        <v>35000</v>
      </c>
      <c r="G85">
        <f t="shared" si="7"/>
        <v>38500</v>
      </c>
    </row>
    <row r="86" spans="1:7" x14ac:dyDescent="0.25">
      <c r="A86" t="s">
        <v>85</v>
      </c>
      <c r="B86" t="s">
        <v>1009</v>
      </c>
      <c r="C86" t="str">
        <f t="shared" si="4"/>
        <v>Office Equipments</v>
      </c>
      <c r="D86" t="str">
        <f>IF(B86="Smartphone",D87,
IF(B86="Smartwatch",
"Apple",
IF(B86="Laptop",
" Apple",
IF(B86="Desktop PC",
"Lenovo",
IF(B86="Tablet",
"Samsung",
IF(B86="Headphone",
"Sony",
IF(B86="Camera",
"Sony",
IF(B86="Printer",
"HP",
IF(B86="External Hard Disk",
"Western Digital",
"Other")))))))))</f>
        <v>HP</v>
      </c>
      <c r="E86" t="str">
        <f t="shared" si="5"/>
        <v>Savex Technologies</v>
      </c>
      <c r="F86">
        <f t="shared" si="6"/>
        <v>40000</v>
      </c>
      <c r="G86">
        <f t="shared" si="7"/>
        <v>44000</v>
      </c>
    </row>
    <row r="87" spans="1:7" x14ac:dyDescent="0.25">
      <c r="A87" t="s">
        <v>86</v>
      </c>
      <c r="B87" t="s">
        <v>1007</v>
      </c>
      <c r="C87" t="str">
        <f t="shared" si="4"/>
        <v>Mobile and Wearables</v>
      </c>
      <c r="D87" t="str">
        <f>IF(B87="Smartphone",D88,
IF(B87="Smartwatch",
"Apple",
IF(B87="Laptop",
" Apple",
IF(B87="Desktop PC",
"Lenovo",
IF(B87="Tablet",
"Samsung",
IF(B87="Headphone",
"Sony",
IF(B87="Camera",
"Sony",
IF(B87="Printer",
"HP",
IF(B87="External Hard Disk",
"Western Digital",
"Other")))))))))</f>
        <v>Sony</v>
      </c>
      <c r="E87" t="str">
        <f t="shared" si="5"/>
        <v>Supertron Electronics</v>
      </c>
      <c r="F87">
        <f t="shared" si="6"/>
        <v>60000</v>
      </c>
      <c r="G87">
        <f t="shared" si="7"/>
        <v>66000</v>
      </c>
    </row>
    <row r="88" spans="1:7" x14ac:dyDescent="0.25">
      <c r="A88" t="s">
        <v>87</v>
      </c>
      <c r="B88" t="s">
        <v>1012</v>
      </c>
      <c r="C88" t="str">
        <f t="shared" si="4"/>
        <v>Audio Devices</v>
      </c>
      <c r="D88" t="str">
        <f>IF(B88="Smartphone",D89,
IF(B88="Smartwatch",
"Apple",
IF(B88="Laptop",
" Apple",
IF(B88="Desktop PC",
"Lenovo",
IF(B88="Tablet",
"Samsung",
IF(B88="Headphone",
"Sony",
IF(B88="Camera",
"Sony",
IF(B88="Printer",
"HP",
IF(B88="External Hard Disk",
"Western Digital",
"Other")))))))))</f>
        <v>Sony</v>
      </c>
      <c r="E88" t="str">
        <f t="shared" si="5"/>
        <v>Supertron Electronics</v>
      </c>
      <c r="F88">
        <f t="shared" si="6"/>
        <v>60000</v>
      </c>
      <c r="G88">
        <f t="shared" si="7"/>
        <v>66000</v>
      </c>
    </row>
    <row r="89" spans="1:7" x14ac:dyDescent="0.25">
      <c r="A89" t="s">
        <v>88</v>
      </c>
      <c r="B89" t="s">
        <v>1003</v>
      </c>
      <c r="C89" t="str">
        <f t="shared" si="4"/>
        <v>Electronics (Computing Devices)</v>
      </c>
      <c r="D89" t="str">
        <f>IF(B89="Smartphone",D90,
IF(B89="Smartwatch",
"Apple",
IF(B89="Laptop",
" Apple",
IF(B89="Desktop PC",
"Lenovo",
IF(B89="Tablet",
"Samsung",
IF(B89="Headphone",
"Sony",
IF(B89="Camera",
"Sony",
IF(B89="Printer",
"HP",
IF(B89="External Hard Disk",
"Western Digital",
"Other")))))))))</f>
        <v>Other</v>
      </c>
      <c r="E89" t="str">
        <f t="shared" si="5"/>
        <v>Ingram Micron India</v>
      </c>
      <c r="F89">
        <f t="shared" si="6"/>
        <v>35000</v>
      </c>
      <c r="G89">
        <f t="shared" si="7"/>
        <v>38500</v>
      </c>
    </row>
    <row r="90" spans="1:7" x14ac:dyDescent="0.25">
      <c r="A90" t="s">
        <v>89</v>
      </c>
      <c r="B90" t="s">
        <v>1002</v>
      </c>
      <c r="C90" t="str">
        <f t="shared" si="4"/>
        <v>Electronics (Computing Devices)</v>
      </c>
      <c r="D90" t="str">
        <f>IF(B90="Smartphone",D91,
IF(B90="Smartwatch",
"Apple",
IF(B90="Laptop",
" Apple",
IF(B90="Desktop PC",
"Lenovo",
IF(B90="Tablet",
"Samsung",
IF(B90="Headphone",
"Sony",
IF(B90="Camera",
"Sony",
IF(B90="Printer",
"HP",
IF(B90="External Hard Disk",
"Western Digital",
"Other")))))))))</f>
        <v>Lenovo</v>
      </c>
      <c r="E90" t="str">
        <f t="shared" si="5"/>
        <v>Savex Technologies</v>
      </c>
      <c r="F90">
        <f t="shared" si="6"/>
        <v>45000</v>
      </c>
      <c r="G90">
        <f t="shared" si="7"/>
        <v>49500.000000000007</v>
      </c>
    </row>
    <row r="91" spans="1:7" x14ac:dyDescent="0.25">
      <c r="A91" t="s">
        <v>90</v>
      </c>
      <c r="B91" t="s">
        <v>1001</v>
      </c>
      <c r="C91" t="str">
        <f t="shared" si="4"/>
        <v>Mobile and Wearables</v>
      </c>
      <c r="D91" t="str">
        <f>IF(B91="Smartphone",D92,
IF(B91="Smartwatch",
"Apple",
IF(B91="Laptop",
" Apple",
IF(B91="Desktop PC",
"Lenovo",
IF(B91="Tablet",
"Samsung",
IF(B91="Headphone",
"Sony",
IF(B91="Camera",
"Sony",
IF(B91="Printer",
"HP",
IF(B91="External Hard Disk",
"Western Digital",
"Other")))))))))</f>
        <v>Apple</v>
      </c>
      <c r="E91" t="str">
        <f t="shared" si="5"/>
        <v>Redington India</v>
      </c>
      <c r="F91">
        <f t="shared" si="6"/>
        <v>40000</v>
      </c>
      <c r="G91">
        <f t="shared" si="7"/>
        <v>44000</v>
      </c>
    </row>
    <row r="92" spans="1:7" x14ac:dyDescent="0.25">
      <c r="A92" t="s">
        <v>91</v>
      </c>
      <c r="B92" t="s">
        <v>1009</v>
      </c>
      <c r="C92" t="str">
        <f t="shared" si="4"/>
        <v>Office Equipments</v>
      </c>
      <c r="D92" t="str">
        <f>IF(B92="Smartphone",D93,
IF(B92="Smartwatch",
"Apple",
IF(B92="Laptop",
" Apple",
IF(B92="Desktop PC",
"Lenovo",
IF(B92="Tablet",
"Samsung",
IF(B92="Headphone",
"Sony",
IF(B92="Camera",
"Sony",
IF(B92="Printer",
"HP",
IF(B92="External Hard Disk",
"Western Digital",
"Other")))))))))</f>
        <v>HP</v>
      </c>
      <c r="E92" t="str">
        <f t="shared" si="5"/>
        <v>Savex Technologies</v>
      </c>
      <c r="F92">
        <f t="shared" si="6"/>
        <v>40000</v>
      </c>
      <c r="G92">
        <f t="shared" si="7"/>
        <v>44000</v>
      </c>
    </row>
    <row r="93" spans="1:7" x14ac:dyDescent="0.25">
      <c r="A93" t="s">
        <v>92</v>
      </c>
      <c r="B93" t="s">
        <v>1004</v>
      </c>
      <c r="C93" t="str">
        <f t="shared" si="4"/>
        <v>Electronics (Computing Devices)</v>
      </c>
      <c r="D93" t="str">
        <f>IF(B93="Smartphone",D94,
IF(B93="Smartwatch",
"Apple",
IF(B93="Laptop",
" Apple",
IF(B93="Desktop PC",
"Lenovo",
IF(B93="Tablet",
"Samsung",
IF(B93="Headphone",
"Sony",
IF(B93="Camera",
"Sony",
IF(B93="Printer",
"HP",
IF(B93="External Hard Disk",
"Western Digital",
"Other")))))))))</f>
        <v xml:space="preserve"> Apple</v>
      </c>
      <c r="E93" t="str">
        <f t="shared" si="5"/>
        <v>Ingram Micron India</v>
      </c>
      <c r="F93">
        <f t="shared" si="6"/>
        <v>35000</v>
      </c>
      <c r="G93">
        <f t="shared" si="7"/>
        <v>38500</v>
      </c>
    </row>
    <row r="94" spans="1:7" x14ac:dyDescent="0.25">
      <c r="A94" t="s">
        <v>93</v>
      </c>
      <c r="B94" t="s">
        <v>1013</v>
      </c>
      <c r="C94" t="str">
        <f t="shared" si="4"/>
        <v>Storage Devices</v>
      </c>
      <c r="D94" t="str">
        <f>IF(B94="Smartphone",D95,
IF(B94="Smartwatch",
"Apple",
IF(B94="Laptop",
" Apple",
IF(B94="Desktop PC",
"Lenovo",
IF(B94="Tablet",
"Samsung",
IF(B94="Headphone",
"Sony",
IF(B94="Camera",
"Sony",
IF(B94="Printer",
"HP",
IF(B94="External Hard Disk",
"Western Digital",
"Other")))))))))</f>
        <v>Western Digital</v>
      </c>
      <c r="E94" t="str">
        <f t="shared" si="5"/>
        <v>Ingram Micron India</v>
      </c>
      <c r="F94">
        <f t="shared" si="6"/>
        <v>35000</v>
      </c>
      <c r="G94">
        <f t="shared" si="7"/>
        <v>38500</v>
      </c>
    </row>
    <row r="95" spans="1:7" x14ac:dyDescent="0.25">
      <c r="A95" t="s">
        <v>94</v>
      </c>
      <c r="B95" t="s">
        <v>1009</v>
      </c>
      <c r="C95" t="str">
        <f t="shared" si="4"/>
        <v>Office Equipments</v>
      </c>
      <c r="D95" t="str">
        <f>IF(B95="Smartphone",D96,
IF(B95="Smartwatch",
"Apple",
IF(B95="Laptop",
" Apple",
IF(B95="Desktop PC",
"Lenovo",
IF(B95="Tablet",
"Samsung",
IF(B95="Headphone",
"Sony",
IF(B95="Camera",
"Sony",
IF(B95="Printer",
"HP",
IF(B95="External Hard Disk",
"Western Digital",
"Other")))))))))</f>
        <v>HP</v>
      </c>
      <c r="E95" t="str">
        <f t="shared" si="5"/>
        <v>Savex Technologies</v>
      </c>
      <c r="F95">
        <f t="shared" si="6"/>
        <v>40000</v>
      </c>
      <c r="G95">
        <f t="shared" si="7"/>
        <v>44000</v>
      </c>
    </row>
    <row r="96" spans="1:7" x14ac:dyDescent="0.25">
      <c r="A96" t="s">
        <v>95</v>
      </c>
      <c r="B96" t="s">
        <v>1009</v>
      </c>
      <c r="C96" t="str">
        <f t="shared" si="4"/>
        <v>Office Equipments</v>
      </c>
      <c r="D96" t="str">
        <f>IF(B96="Smartphone",D97,
IF(B96="Smartwatch",
"Apple",
IF(B96="Laptop",
" Apple",
IF(B96="Desktop PC",
"Lenovo",
IF(B96="Tablet",
"Samsung",
IF(B96="Headphone",
"Sony",
IF(B96="Camera",
"Sony",
IF(B96="Printer",
"HP",
IF(B96="External Hard Disk",
"Western Digital",
"Other")))))))))</f>
        <v>HP</v>
      </c>
      <c r="E96" t="str">
        <f t="shared" si="5"/>
        <v>Savex Technologies</v>
      </c>
      <c r="F96">
        <f t="shared" si="6"/>
        <v>40000</v>
      </c>
      <c r="G96">
        <f t="shared" si="7"/>
        <v>44000</v>
      </c>
    </row>
    <row r="97" spans="1:7" x14ac:dyDescent="0.25">
      <c r="A97" t="s">
        <v>96</v>
      </c>
      <c r="B97" t="s">
        <v>1009</v>
      </c>
      <c r="C97" t="str">
        <f t="shared" si="4"/>
        <v>Office Equipments</v>
      </c>
      <c r="D97" t="str">
        <f>IF(B97="Smartphone",D98,
IF(B97="Smartwatch",
"Apple",
IF(B97="Laptop",
" Apple",
IF(B97="Desktop PC",
"Lenovo",
IF(B97="Tablet",
"Samsung",
IF(B97="Headphone",
"Sony",
IF(B97="Camera",
"Sony",
IF(B97="Printer",
"HP",
IF(B97="External Hard Disk",
"Western Digital",
"Other")))))))))</f>
        <v>HP</v>
      </c>
      <c r="E97" t="str">
        <f t="shared" si="5"/>
        <v>Savex Technologies</v>
      </c>
      <c r="F97">
        <f t="shared" si="6"/>
        <v>40000</v>
      </c>
      <c r="G97">
        <f t="shared" si="7"/>
        <v>44000</v>
      </c>
    </row>
    <row r="98" spans="1:7" x14ac:dyDescent="0.25">
      <c r="A98" t="s">
        <v>97</v>
      </c>
      <c r="B98" t="s">
        <v>1001</v>
      </c>
      <c r="C98" t="str">
        <f t="shared" si="4"/>
        <v>Mobile and Wearables</v>
      </c>
      <c r="D98" t="str">
        <f>IF(B98="Smartphone",D99,
IF(B98="Smartwatch",
"Apple",
IF(B98="Laptop",
" Apple",
IF(B98="Desktop PC",
"Lenovo",
IF(B98="Tablet",
"Samsung",
IF(B98="Headphone",
"Sony",
IF(B98="Camera",
"Sony",
IF(B98="Printer",
"HP",
IF(B98="External Hard Disk",
"Western Digital",
"Other")))))))))</f>
        <v>Apple</v>
      </c>
      <c r="E98" t="str">
        <f t="shared" si="5"/>
        <v>Redington India</v>
      </c>
      <c r="F98">
        <f t="shared" si="6"/>
        <v>40000</v>
      </c>
      <c r="G98">
        <f t="shared" si="7"/>
        <v>44000</v>
      </c>
    </row>
    <row r="99" spans="1:7" x14ac:dyDescent="0.25">
      <c r="A99" t="s">
        <v>98</v>
      </c>
      <c r="B99" t="s">
        <v>1010</v>
      </c>
      <c r="C99" t="str">
        <f t="shared" si="4"/>
        <v>Office Equipments</v>
      </c>
      <c r="D99" t="str">
        <f>IF(B99="Smartphone",D100,
IF(B99="Smartwatch",
"Apple",
IF(B99="Laptop",
" Apple",
IF(B99="Desktop PC",
"Lenovo",
IF(B99="Tablet",
"Samsung",
IF(B99="Headphone",
"Sony",
IF(B99="Camera",
"Sony",
IF(B99="Printer",
"HP",
IF(B99="External Hard Disk",
"Western Digital",
"Other")))))))))</f>
        <v>Sony</v>
      </c>
      <c r="E99" t="str">
        <f t="shared" si="5"/>
        <v>Supertron Electronics</v>
      </c>
      <c r="F99">
        <f t="shared" si="6"/>
        <v>60000</v>
      </c>
      <c r="G99">
        <f t="shared" si="7"/>
        <v>66000</v>
      </c>
    </row>
    <row r="100" spans="1:7" x14ac:dyDescent="0.25">
      <c r="A100" t="s">
        <v>99</v>
      </c>
      <c r="B100" t="s">
        <v>1001</v>
      </c>
      <c r="C100" t="str">
        <f t="shared" si="4"/>
        <v>Mobile and Wearables</v>
      </c>
      <c r="D100" t="str">
        <f>IF(B100="Smartphone",D101,
IF(B100="Smartwatch",
"Apple",
IF(B100="Laptop",
" Apple",
IF(B100="Desktop PC",
"Lenovo",
IF(B100="Tablet",
"Samsung",
IF(B100="Headphone",
"Sony",
IF(B100="Camera",
"Sony",
IF(B100="Printer",
"HP",
IF(B100="External Hard Disk",
"Western Digital",
"Other")))))))))</f>
        <v>Apple</v>
      </c>
      <c r="E100" t="str">
        <f t="shared" si="5"/>
        <v>Redington India</v>
      </c>
      <c r="F100">
        <f t="shared" si="6"/>
        <v>40000</v>
      </c>
      <c r="G100">
        <f t="shared" si="7"/>
        <v>44000</v>
      </c>
    </row>
    <row r="101" spans="1:7" x14ac:dyDescent="0.25">
      <c r="A101" t="s">
        <v>100</v>
      </c>
      <c r="B101" t="s">
        <v>1010</v>
      </c>
      <c r="C101" t="str">
        <f t="shared" si="4"/>
        <v>Office Equipments</v>
      </c>
      <c r="D101" t="str">
        <f>IF(B101="Smartphone",D102,
IF(B101="Smartwatch",
"Apple",
IF(B101="Laptop",
" Apple",
IF(B101="Desktop PC",
"Lenovo",
IF(B101="Tablet",
"Samsung",
IF(B101="Headphone",
"Sony",
IF(B101="Camera",
"Sony",
IF(B101="Printer",
"HP",
IF(B101="External Hard Disk",
"Western Digital",
"Other")))))))))</f>
        <v>Sony</v>
      </c>
      <c r="E101" t="str">
        <f t="shared" si="5"/>
        <v>Supertron Electronics</v>
      </c>
      <c r="F101">
        <f t="shared" si="6"/>
        <v>60000</v>
      </c>
      <c r="G101">
        <f t="shared" si="7"/>
        <v>66000</v>
      </c>
    </row>
    <row r="102" spans="1:7" x14ac:dyDescent="0.25">
      <c r="A102" t="s">
        <v>101</v>
      </c>
      <c r="B102" t="s">
        <v>1010</v>
      </c>
      <c r="C102" t="str">
        <f t="shared" si="4"/>
        <v>Office Equipments</v>
      </c>
      <c r="D102" t="str">
        <f>IF(B102="Smartphone",D103,
IF(B102="Smartwatch",
"Apple",
IF(B102="Laptop",
" Apple",
IF(B102="Desktop PC",
"Lenovo",
IF(B102="Tablet",
"Samsung",
IF(B102="Headphone",
"Sony",
IF(B102="Camera",
"Sony",
IF(B102="Printer",
"HP",
IF(B102="External Hard Disk",
"Western Digital",
"Other")))))))))</f>
        <v>Sony</v>
      </c>
      <c r="E102" t="str">
        <f t="shared" si="5"/>
        <v>Supertron Electronics</v>
      </c>
      <c r="F102">
        <f t="shared" si="6"/>
        <v>60000</v>
      </c>
      <c r="G102">
        <f t="shared" si="7"/>
        <v>66000</v>
      </c>
    </row>
    <row r="103" spans="1:7" x14ac:dyDescent="0.25">
      <c r="A103" t="s">
        <v>102</v>
      </c>
      <c r="B103" t="s">
        <v>1007</v>
      </c>
      <c r="C103" t="str">
        <f t="shared" si="4"/>
        <v>Mobile and Wearables</v>
      </c>
      <c r="D103" t="str">
        <f>IF(B103="Smartphone",D104,
IF(B103="Smartwatch",
"Apple",
IF(B103="Laptop",
" Apple",
IF(B103="Desktop PC",
"Lenovo",
IF(B103="Tablet",
"Samsung",
IF(B103="Headphone",
"Sony",
IF(B103="Camera",
"Sony",
IF(B103="Printer",
"HP",
IF(B103="External Hard Disk",
"Western Digital",
"Other")))))))))</f>
        <v>Western Digital</v>
      </c>
      <c r="E103" t="str">
        <f t="shared" si="5"/>
        <v>Ingram Micron India</v>
      </c>
      <c r="F103">
        <f t="shared" si="6"/>
        <v>35000</v>
      </c>
      <c r="G103">
        <f t="shared" si="7"/>
        <v>38500</v>
      </c>
    </row>
    <row r="104" spans="1:7" x14ac:dyDescent="0.25">
      <c r="A104" t="s">
        <v>103</v>
      </c>
      <c r="B104" t="s">
        <v>1007</v>
      </c>
      <c r="C104" t="str">
        <f t="shared" si="4"/>
        <v>Mobile and Wearables</v>
      </c>
      <c r="D104" t="str">
        <f>IF(B104="Smartphone",D105,
IF(B104="Smartwatch",
"Apple",
IF(B104="Laptop",
" Apple",
IF(B104="Desktop PC",
"Lenovo",
IF(B104="Tablet",
"Samsung",
IF(B104="Headphone",
"Sony",
IF(B104="Camera",
"Sony",
IF(B104="Printer",
"HP",
IF(B104="External Hard Disk",
"Western Digital",
"Other")))))))))</f>
        <v>Western Digital</v>
      </c>
      <c r="E104" t="str">
        <f t="shared" si="5"/>
        <v>Ingram Micron India</v>
      </c>
      <c r="F104">
        <f t="shared" si="6"/>
        <v>35000</v>
      </c>
      <c r="G104">
        <f t="shared" si="7"/>
        <v>38500</v>
      </c>
    </row>
    <row r="105" spans="1:7" x14ac:dyDescent="0.25">
      <c r="A105" t="s">
        <v>104</v>
      </c>
      <c r="B105" t="s">
        <v>1013</v>
      </c>
      <c r="C105" t="str">
        <f t="shared" si="4"/>
        <v>Storage Devices</v>
      </c>
      <c r="D105" t="str">
        <f>IF(B105="Smartphone",D106,
IF(B105="Smartwatch",
"Apple",
IF(B105="Laptop",
" Apple",
IF(B105="Desktop PC",
"Lenovo",
IF(B105="Tablet",
"Samsung",
IF(B105="Headphone",
"Sony",
IF(B105="Camera",
"Sony",
IF(B105="Printer",
"HP",
IF(B105="External Hard Disk",
"Western Digital",
"Other")))))))))</f>
        <v>Western Digital</v>
      </c>
      <c r="E105" t="str">
        <f t="shared" si="5"/>
        <v>Ingram Micron India</v>
      </c>
      <c r="F105">
        <f t="shared" si="6"/>
        <v>35000</v>
      </c>
      <c r="G105">
        <f t="shared" si="7"/>
        <v>38500</v>
      </c>
    </row>
    <row r="106" spans="1:7" x14ac:dyDescent="0.25">
      <c r="A106" t="s">
        <v>105</v>
      </c>
      <c r="B106" t="s">
        <v>1003</v>
      </c>
      <c r="C106" t="str">
        <f t="shared" si="4"/>
        <v>Electronics (Computing Devices)</v>
      </c>
      <c r="D106" t="str">
        <f>IF(B106="Smartphone",D107,
IF(B106="Smartwatch",
"Apple",
IF(B106="Laptop",
" Apple",
IF(B106="Desktop PC",
"Lenovo",
IF(B106="Tablet",
"Samsung",
IF(B106="Headphone",
"Sony",
IF(B106="Camera",
"Sony",
IF(B106="Printer",
"HP",
IF(B106="External Hard Disk",
"Western Digital",
"Other")))))))))</f>
        <v>Other</v>
      </c>
      <c r="E106" t="str">
        <f t="shared" si="5"/>
        <v>Ingram Micron India</v>
      </c>
      <c r="F106">
        <f t="shared" si="6"/>
        <v>35000</v>
      </c>
      <c r="G106">
        <f t="shared" si="7"/>
        <v>38500</v>
      </c>
    </row>
    <row r="107" spans="1:7" x14ac:dyDescent="0.25">
      <c r="A107" t="s">
        <v>106</v>
      </c>
      <c r="B107" t="s">
        <v>1010</v>
      </c>
      <c r="C107" t="str">
        <f t="shared" si="4"/>
        <v>Office Equipments</v>
      </c>
      <c r="D107" t="str">
        <f>IF(B107="Smartphone",D108,
IF(B107="Smartwatch",
"Apple",
IF(B107="Laptop",
" Apple",
IF(B107="Desktop PC",
"Lenovo",
IF(B107="Tablet",
"Samsung",
IF(B107="Headphone",
"Sony",
IF(B107="Camera",
"Sony",
IF(B107="Printer",
"HP",
IF(B107="External Hard Disk",
"Western Digital",
"Other")))))))))</f>
        <v>Sony</v>
      </c>
      <c r="E107" t="str">
        <f t="shared" si="5"/>
        <v>Supertron Electronics</v>
      </c>
      <c r="F107">
        <f t="shared" si="6"/>
        <v>60000</v>
      </c>
      <c r="G107">
        <f t="shared" si="7"/>
        <v>66000</v>
      </c>
    </row>
    <row r="108" spans="1:7" x14ac:dyDescent="0.25">
      <c r="A108" t="s">
        <v>107</v>
      </c>
      <c r="B108" t="s">
        <v>1001</v>
      </c>
      <c r="C108" t="str">
        <f t="shared" si="4"/>
        <v>Mobile and Wearables</v>
      </c>
      <c r="D108" t="str">
        <f>IF(B108="Smartphone",D109,
IF(B108="Smartwatch",
"Apple",
IF(B108="Laptop",
" Apple",
IF(B108="Desktop PC",
"Lenovo",
IF(B108="Tablet",
"Samsung",
IF(B108="Headphone",
"Sony",
IF(B108="Camera",
"Sony",
IF(B108="Printer",
"HP",
IF(B108="External Hard Disk",
"Western Digital",
"Other")))))))))</f>
        <v>Apple</v>
      </c>
      <c r="E108" t="str">
        <f t="shared" si="5"/>
        <v>Redington India</v>
      </c>
      <c r="F108">
        <f t="shared" si="6"/>
        <v>40000</v>
      </c>
      <c r="G108">
        <f t="shared" si="7"/>
        <v>44000</v>
      </c>
    </row>
    <row r="109" spans="1:7" x14ac:dyDescent="0.25">
      <c r="A109" t="s">
        <v>108</v>
      </c>
      <c r="B109" t="s">
        <v>1002</v>
      </c>
      <c r="C109" t="str">
        <f t="shared" si="4"/>
        <v>Electronics (Computing Devices)</v>
      </c>
      <c r="D109" t="str">
        <f>IF(B109="Smartphone",D110,
IF(B109="Smartwatch",
"Apple",
IF(B109="Laptop",
" Apple",
IF(B109="Desktop PC",
"Lenovo",
IF(B109="Tablet",
"Samsung",
IF(B109="Headphone",
"Sony",
IF(B109="Camera",
"Sony",
IF(B109="Printer",
"HP",
IF(B109="External Hard Disk",
"Western Digital",
"Other")))))))))</f>
        <v>Lenovo</v>
      </c>
      <c r="E109" t="str">
        <f t="shared" si="5"/>
        <v>Savex Technologies</v>
      </c>
      <c r="F109">
        <f t="shared" si="6"/>
        <v>45000</v>
      </c>
      <c r="G109">
        <f t="shared" si="7"/>
        <v>49500.000000000007</v>
      </c>
    </row>
    <row r="110" spans="1:7" x14ac:dyDescent="0.25">
      <c r="A110" t="s">
        <v>109</v>
      </c>
      <c r="B110" t="s">
        <v>1010</v>
      </c>
      <c r="C110" t="str">
        <f t="shared" si="4"/>
        <v>Office Equipments</v>
      </c>
      <c r="D110" t="str">
        <f>IF(B110="Smartphone",D111,
IF(B110="Smartwatch",
"Apple",
IF(B110="Laptop",
" Apple",
IF(B110="Desktop PC",
"Lenovo",
IF(B110="Tablet",
"Samsung",
IF(B110="Headphone",
"Sony",
IF(B110="Camera",
"Sony",
IF(B110="Printer",
"HP",
IF(B110="External Hard Disk",
"Western Digital",
"Other")))))))))</f>
        <v>Sony</v>
      </c>
      <c r="E110" t="str">
        <f t="shared" si="5"/>
        <v>Supertron Electronics</v>
      </c>
      <c r="F110">
        <f t="shared" si="6"/>
        <v>60000</v>
      </c>
      <c r="G110">
        <f t="shared" si="7"/>
        <v>66000</v>
      </c>
    </row>
    <row r="111" spans="1:7" x14ac:dyDescent="0.25">
      <c r="A111" t="s">
        <v>110</v>
      </c>
      <c r="B111" t="s">
        <v>1013</v>
      </c>
      <c r="C111" t="str">
        <f t="shared" si="4"/>
        <v>Storage Devices</v>
      </c>
      <c r="D111" t="str">
        <f>IF(B111="Smartphone",D112,
IF(B111="Smartwatch",
"Apple",
IF(B111="Laptop",
" Apple",
IF(B111="Desktop PC",
"Lenovo",
IF(B111="Tablet",
"Samsung",
IF(B111="Headphone",
"Sony",
IF(B111="Camera",
"Sony",
IF(B111="Printer",
"HP",
IF(B111="External Hard Disk",
"Western Digital",
"Other")))))))))</f>
        <v>Western Digital</v>
      </c>
      <c r="E111" t="str">
        <f t="shared" si="5"/>
        <v>Ingram Micron India</v>
      </c>
      <c r="F111">
        <f t="shared" si="6"/>
        <v>35000</v>
      </c>
      <c r="G111">
        <f t="shared" si="7"/>
        <v>38500</v>
      </c>
    </row>
    <row r="112" spans="1:7" x14ac:dyDescent="0.25">
      <c r="A112" t="s">
        <v>111</v>
      </c>
      <c r="B112" t="s">
        <v>1002</v>
      </c>
      <c r="C112" t="str">
        <f t="shared" si="4"/>
        <v>Electronics (Computing Devices)</v>
      </c>
      <c r="D112" t="str">
        <f>IF(B112="Smartphone",D113,
IF(B112="Smartwatch",
"Apple",
IF(B112="Laptop",
" Apple",
IF(B112="Desktop PC",
"Lenovo",
IF(B112="Tablet",
"Samsung",
IF(B112="Headphone",
"Sony",
IF(B112="Camera",
"Sony",
IF(B112="Printer",
"HP",
IF(B112="External Hard Disk",
"Western Digital",
"Other")))))))))</f>
        <v>Lenovo</v>
      </c>
      <c r="E112" t="str">
        <f t="shared" si="5"/>
        <v>Savex Technologies</v>
      </c>
      <c r="F112">
        <f t="shared" si="6"/>
        <v>45000</v>
      </c>
      <c r="G112">
        <f t="shared" si="7"/>
        <v>49500.000000000007</v>
      </c>
    </row>
    <row r="113" spans="1:7" x14ac:dyDescent="0.25">
      <c r="A113" t="s">
        <v>112</v>
      </c>
      <c r="B113" t="s">
        <v>1001</v>
      </c>
      <c r="C113" t="str">
        <f t="shared" si="4"/>
        <v>Mobile and Wearables</v>
      </c>
      <c r="D113" t="str">
        <f>IF(B113="Smartphone",D114,
IF(B113="Smartwatch",
"Apple",
IF(B113="Laptop",
" Apple",
IF(B113="Desktop PC",
"Lenovo",
IF(B113="Tablet",
"Samsung",
IF(B113="Headphone",
"Sony",
IF(B113="Camera",
"Sony",
IF(B113="Printer",
"HP",
IF(B113="External Hard Disk",
"Western Digital",
"Other")))))))))</f>
        <v>Apple</v>
      </c>
      <c r="E113" t="str">
        <f t="shared" si="5"/>
        <v>Redington India</v>
      </c>
      <c r="F113">
        <f t="shared" si="6"/>
        <v>40000</v>
      </c>
      <c r="G113">
        <f t="shared" si="7"/>
        <v>44000</v>
      </c>
    </row>
    <row r="114" spans="1:7" x14ac:dyDescent="0.25">
      <c r="A114" t="s">
        <v>113</v>
      </c>
      <c r="B114" t="s">
        <v>1002</v>
      </c>
      <c r="C114" t="str">
        <f t="shared" si="4"/>
        <v>Electronics (Computing Devices)</v>
      </c>
      <c r="D114" t="str">
        <f>IF(B114="Smartphone",D115,
IF(B114="Smartwatch",
"Apple",
IF(B114="Laptop",
" Apple",
IF(B114="Desktop PC",
"Lenovo",
IF(B114="Tablet",
"Samsung",
IF(B114="Headphone",
"Sony",
IF(B114="Camera",
"Sony",
IF(B114="Printer",
"HP",
IF(B114="External Hard Disk",
"Western Digital",
"Other")))))))))</f>
        <v>Lenovo</v>
      </c>
      <c r="E114" t="str">
        <f t="shared" si="5"/>
        <v>Savex Technologies</v>
      </c>
      <c r="F114">
        <f t="shared" si="6"/>
        <v>45000</v>
      </c>
      <c r="G114">
        <f t="shared" si="7"/>
        <v>49500.000000000007</v>
      </c>
    </row>
    <row r="115" spans="1:7" x14ac:dyDescent="0.25">
      <c r="A115" t="s">
        <v>114</v>
      </c>
      <c r="B115" t="s">
        <v>1002</v>
      </c>
      <c r="C115" t="str">
        <f t="shared" si="4"/>
        <v>Electronics (Computing Devices)</v>
      </c>
      <c r="D115" t="str">
        <f>IF(B115="Smartphone",D116,
IF(B115="Smartwatch",
"Apple",
IF(B115="Laptop",
" Apple",
IF(B115="Desktop PC",
"Lenovo",
IF(B115="Tablet",
"Samsung",
IF(B115="Headphone",
"Sony",
IF(B115="Camera",
"Sony",
IF(B115="Printer",
"HP",
IF(B115="External Hard Disk",
"Western Digital",
"Other")))))))))</f>
        <v>Lenovo</v>
      </c>
      <c r="E115" t="str">
        <f t="shared" si="5"/>
        <v>Savex Technologies</v>
      </c>
      <c r="F115">
        <f t="shared" si="6"/>
        <v>45000</v>
      </c>
      <c r="G115">
        <f t="shared" si="7"/>
        <v>49500.000000000007</v>
      </c>
    </row>
    <row r="116" spans="1:7" x14ac:dyDescent="0.25">
      <c r="A116" t="s">
        <v>115</v>
      </c>
      <c r="B116" t="s">
        <v>1003</v>
      </c>
      <c r="C116" t="str">
        <f t="shared" si="4"/>
        <v>Electronics (Computing Devices)</v>
      </c>
      <c r="D116" t="str">
        <f>IF(B116="Smartphone",D117,
IF(B116="Smartwatch",
"Apple",
IF(B116="Laptop",
" Apple",
IF(B116="Desktop PC",
"Lenovo",
IF(B116="Tablet",
"Samsung",
IF(B116="Headphone",
"Sony",
IF(B116="Camera",
"Sony",
IF(B116="Printer",
"HP",
IF(B116="External Hard Disk",
"Western Digital",
"Other")))))))))</f>
        <v>Other</v>
      </c>
      <c r="E116" t="str">
        <f t="shared" si="5"/>
        <v>Ingram Micron India</v>
      </c>
      <c r="F116">
        <f t="shared" si="6"/>
        <v>35000</v>
      </c>
      <c r="G116">
        <f t="shared" si="7"/>
        <v>38500</v>
      </c>
    </row>
    <row r="117" spans="1:7" x14ac:dyDescent="0.25">
      <c r="A117" t="s">
        <v>116</v>
      </c>
      <c r="B117" t="s">
        <v>1002</v>
      </c>
      <c r="C117" t="str">
        <f t="shared" si="4"/>
        <v>Electronics (Computing Devices)</v>
      </c>
      <c r="D117" t="str">
        <f>IF(B117="Smartphone",D118,
IF(B117="Smartwatch",
"Apple",
IF(B117="Laptop",
" Apple",
IF(B117="Desktop PC",
"Lenovo",
IF(B117="Tablet",
"Samsung",
IF(B117="Headphone",
"Sony",
IF(B117="Camera",
"Sony",
IF(B117="Printer",
"HP",
IF(B117="External Hard Disk",
"Western Digital",
"Other")))))))))</f>
        <v>Lenovo</v>
      </c>
      <c r="E117" t="str">
        <f t="shared" si="5"/>
        <v>Savex Technologies</v>
      </c>
      <c r="F117">
        <f t="shared" si="6"/>
        <v>45000</v>
      </c>
      <c r="G117">
        <f t="shared" si="7"/>
        <v>49500.000000000007</v>
      </c>
    </row>
    <row r="118" spans="1:7" x14ac:dyDescent="0.25">
      <c r="A118" t="s">
        <v>117</v>
      </c>
      <c r="B118" t="s">
        <v>1005</v>
      </c>
      <c r="C118" t="str">
        <f t="shared" si="4"/>
        <v>Electronics (Computing Devices)</v>
      </c>
      <c r="D118" t="str">
        <f>IF(B118="Smartphone",D119,
IF(B118="Smartwatch",
"Apple",
IF(B118="Laptop",
" Apple",
IF(B118="Desktop PC",
"Lenovo",
IF(B118="Tablet",
"Samsung",
IF(B118="Headphone",
"Sony",
IF(B118="Camera",
"Sony",
IF(B118="Printer",
"HP",
IF(B118="External Hard Disk",
"Western Digital",
"Other")))))))))</f>
        <v>Samsung</v>
      </c>
      <c r="E118" t="str">
        <f t="shared" si="5"/>
        <v>Rashi Peripherals</v>
      </c>
      <c r="F118">
        <f t="shared" si="6"/>
        <v>30000</v>
      </c>
      <c r="G118">
        <f t="shared" si="7"/>
        <v>33000</v>
      </c>
    </row>
    <row r="119" spans="1:7" x14ac:dyDescent="0.25">
      <c r="A119" t="s">
        <v>118</v>
      </c>
      <c r="B119" t="s">
        <v>1003</v>
      </c>
      <c r="C119" t="str">
        <f t="shared" si="4"/>
        <v>Electronics (Computing Devices)</v>
      </c>
      <c r="D119" t="str">
        <f>IF(B119="Smartphone",D120,
IF(B119="Smartwatch",
"Apple",
IF(B119="Laptop",
" Apple",
IF(B119="Desktop PC",
"Lenovo",
IF(B119="Tablet",
"Samsung",
IF(B119="Headphone",
"Sony",
IF(B119="Camera",
"Sony",
IF(B119="Printer",
"HP",
IF(B119="External Hard Disk",
"Western Digital",
"Other")))))))))</f>
        <v>Other</v>
      </c>
      <c r="E119" t="str">
        <f t="shared" si="5"/>
        <v>Ingram Micron India</v>
      </c>
      <c r="F119">
        <f t="shared" si="6"/>
        <v>35000</v>
      </c>
      <c r="G119">
        <f t="shared" si="7"/>
        <v>38500</v>
      </c>
    </row>
    <row r="120" spans="1:7" x14ac:dyDescent="0.25">
      <c r="A120" t="s">
        <v>119</v>
      </c>
      <c r="B120" t="s">
        <v>1001</v>
      </c>
      <c r="C120" t="str">
        <f t="shared" si="4"/>
        <v>Mobile and Wearables</v>
      </c>
      <c r="D120" t="str">
        <f>IF(B120="Smartphone",D121,
IF(B120="Smartwatch",
"Apple",
IF(B120="Laptop",
" Apple",
IF(B120="Desktop PC",
"Lenovo",
IF(B120="Tablet",
"Samsung",
IF(B120="Headphone",
"Sony",
IF(B120="Camera",
"Sony",
IF(B120="Printer",
"HP",
IF(B120="External Hard Disk",
"Western Digital",
"Other")))))))))</f>
        <v>Apple</v>
      </c>
      <c r="E120" t="str">
        <f t="shared" si="5"/>
        <v>Redington India</v>
      </c>
      <c r="F120">
        <f t="shared" si="6"/>
        <v>40000</v>
      </c>
      <c r="G120">
        <f t="shared" si="7"/>
        <v>44000</v>
      </c>
    </row>
    <row r="121" spans="1:7" x14ac:dyDescent="0.25">
      <c r="A121" t="s">
        <v>120</v>
      </c>
      <c r="B121" t="s">
        <v>1004</v>
      </c>
      <c r="C121" t="str">
        <f t="shared" si="4"/>
        <v>Electronics (Computing Devices)</v>
      </c>
      <c r="D121" t="str">
        <f>IF(B121="Smartphone",D122,
IF(B121="Smartwatch",
"Apple",
IF(B121="Laptop",
" Apple",
IF(B121="Desktop PC",
"Lenovo",
IF(B121="Tablet",
"Samsung",
IF(B121="Headphone",
"Sony",
IF(B121="Camera",
"Sony",
IF(B121="Printer",
"HP",
IF(B121="External Hard Disk",
"Western Digital",
"Other")))))))))</f>
        <v xml:space="preserve"> Apple</v>
      </c>
      <c r="E121" t="str">
        <f t="shared" si="5"/>
        <v>Ingram Micron India</v>
      </c>
      <c r="F121">
        <f t="shared" si="6"/>
        <v>35000</v>
      </c>
      <c r="G121">
        <f t="shared" si="7"/>
        <v>38500</v>
      </c>
    </row>
    <row r="122" spans="1:7" x14ac:dyDescent="0.25">
      <c r="A122" t="s">
        <v>121</v>
      </c>
      <c r="B122" t="s">
        <v>1009</v>
      </c>
      <c r="C122" t="str">
        <f t="shared" si="4"/>
        <v>Office Equipments</v>
      </c>
      <c r="D122" t="str">
        <f>IF(B122="Smartphone",D123,
IF(B122="Smartwatch",
"Apple",
IF(B122="Laptop",
" Apple",
IF(B122="Desktop PC",
"Lenovo",
IF(B122="Tablet",
"Samsung",
IF(B122="Headphone",
"Sony",
IF(B122="Camera",
"Sony",
IF(B122="Printer",
"HP",
IF(B122="External Hard Disk",
"Western Digital",
"Other")))))))))</f>
        <v>HP</v>
      </c>
      <c r="E122" t="str">
        <f t="shared" si="5"/>
        <v>Savex Technologies</v>
      </c>
      <c r="F122">
        <f t="shared" si="6"/>
        <v>40000</v>
      </c>
      <c r="G122">
        <f t="shared" si="7"/>
        <v>44000</v>
      </c>
    </row>
    <row r="123" spans="1:7" x14ac:dyDescent="0.25">
      <c r="A123" t="s">
        <v>122</v>
      </c>
      <c r="B123" t="s">
        <v>1004</v>
      </c>
      <c r="C123" t="str">
        <f t="shared" si="4"/>
        <v>Electronics (Computing Devices)</v>
      </c>
      <c r="D123" t="str">
        <f>IF(B123="Smartphone",D124,
IF(B123="Smartwatch",
"Apple",
IF(B123="Laptop",
" Apple",
IF(B123="Desktop PC",
"Lenovo",
IF(B123="Tablet",
"Samsung",
IF(B123="Headphone",
"Sony",
IF(B123="Camera",
"Sony",
IF(B123="Printer",
"HP",
IF(B123="External Hard Disk",
"Western Digital",
"Other")))))))))</f>
        <v xml:space="preserve"> Apple</v>
      </c>
      <c r="E123" t="str">
        <f t="shared" si="5"/>
        <v>Ingram Micron India</v>
      </c>
      <c r="F123">
        <f t="shared" si="6"/>
        <v>35000</v>
      </c>
      <c r="G123">
        <f t="shared" si="7"/>
        <v>38500</v>
      </c>
    </row>
    <row r="124" spans="1:7" x14ac:dyDescent="0.25">
      <c r="A124" t="s">
        <v>123</v>
      </c>
      <c r="B124" t="s">
        <v>1005</v>
      </c>
      <c r="C124" t="str">
        <f t="shared" si="4"/>
        <v>Electronics (Computing Devices)</v>
      </c>
      <c r="D124" t="str">
        <f>IF(B124="Smartphone",D125,
IF(B124="Smartwatch",
"Apple",
IF(B124="Laptop",
" Apple",
IF(B124="Desktop PC",
"Lenovo",
IF(B124="Tablet",
"Samsung",
IF(B124="Headphone",
"Sony",
IF(B124="Camera",
"Sony",
IF(B124="Printer",
"HP",
IF(B124="External Hard Disk",
"Western Digital",
"Other")))))))))</f>
        <v>Samsung</v>
      </c>
      <c r="E124" t="str">
        <f t="shared" si="5"/>
        <v>Rashi Peripherals</v>
      </c>
      <c r="F124">
        <f t="shared" si="6"/>
        <v>30000</v>
      </c>
      <c r="G124">
        <f t="shared" si="7"/>
        <v>33000</v>
      </c>
    </row>
    <row r="125" spans="1:7" x14ac:dyDescent="0.25">
      <c r="A125" t="s">
        <v>124</v>
      </c>
      <c r="B125" t="s">
        <v>1010</v>
      </c>
      <c r="C125" t="str">
        <f t="shared" si="4"/>
        <v>Office Equipments</v>
      </c>
      <c r="D125" t="str">
        <f>IF(B125="Smartphone",D126,
IF(B125="Smartwatch",
"Apple",
IF(B125="Laptop",
" Apple",
IF(B125="Desktop PC",
"Lenovo",
IF(B125="Tablet",
"Samsung",
IF(B125="Headphone",
"Sony",
IF(B125="Camera",
"Sony",
IF(B125="Printer",
"HP",
IF(B125="External Hard Disk",
"Western Digital",
"Other")))))))))</f>
        <v>Sony</v>
      </c>
      <c r="E125" t="str">
        <f t="shared" si="5"/>
        <v>Supertron Electronics</v>
      </c>
      <c r="F125">
        <f t="shared" si="6"/>
        <v>60000</v>
      </c>
      <c r="G125">
        <f t="shared" si="7"/>
        <v>66000</v>
      </c>
    </row>
    <row r="126" spans="1:7" x14ac:dyDescent="0.25">
      <c r="A126" t="s">
        <v>125</v>
      </c>
      <c r="B126" t="s">
        <v>1009</v>
      </c>
      <c r="C126" t="str">
        <f t="shared" si="4"/>
        <v>Office Equipments</v>
      </c>
      <c r="D126" t="str">
        <f>IF(B126="Smartphone",D127,
IF(B126="Smartwatch",
"Apple",
IF(B126="Laptop",
" Apple",
IF(B126="Desktop PC",
"Lenovo",
IF(B126="Tablet",
"Samsung",
IF(B126="Headphone",
"Sony",
IF(B126="Camera",
"Sony",
IF(B126="Printer",
"HP",
IF(B126="External Hard Disk",
"Western Digital",
"Other")))))))))</f>
        <v>HP</v>
      </c>
      <c r="E126" t="str">
        <f t="shared" si="5"/>
        <v>Savex Technologies</v>
      </c>
      <c r="F126">
        <f t="shared" si="6"/>
        <v>40000</v>
      </c>
      <c r="G126">
        <f t="shared" si="7"/>
        <v>44000</v>
      </c>
    </row>
    <row r="127" spans="1:7" x14ac:dyDescent="0.25">
      <c r="A127" t="s">
        <v>126</v>
      </c>
      <c r="B127" t="s">
        <v>1007</v>
      </c>
      <c r="C127" t="str">
        <f t="shared" si="4"/>
        <v>Mobile and Wearables</v>
      </c>
      <c r="D127" t="str">
        <f>IF(B127="Smartphone",D128,
IF(B127="Smartwatch",
"Apple",
IF(B127="Laptop",
" Apple",
IF(B127="Desktop PC",
"Lenovo",
IF(B127="Tablet",
"Samsung",
IF(B127="Headphone",
"Sony",
IF(B127="Camera",
"Sony",
IF(B127="Printer",
"HP",
IF(B127="External Hard Disk",
"Western Digital",
"Other")))))))))</f>
        <v>Other</v>
      </c>
      <c r="E127" t="str">
        <f t="shared" si="5"/>
        <v>Ingram Micron India</v>
      </c>
      <c r="F127">
        <f t="shared" si="6"/>
        <v>35000</v>
      </c>
      <c r="G127">
        <f t="shared" si="7"/>
        <v>38500</v>
      </c>
    </row>
    <row r="128" spans="1:7" x14ac:dyDescent="0.25">
      <c r="A128" t="s">
        <v>127</v>
      </c>
      <c r="B128" t="s">
        <v>1003</v>
      </c>
      <c r="C128" t="str">
        <f t="shared" si="4"/>
        <v>Electronics (Computing Devices)</v>
      </c>
      <c r="D128" t="str">
        <f>IF(B128="Smartphone",D129,
IF(B128="Smartwatch",
"Apple",
IF(B128="Laptop",
" Apple",
IF(B128="Desktop PC",
"Lenovo",
IF(B128="Tablet",
"Samsung",
IF(B128="Headphone",
"Sony",
IF(B128="Camera",
"Sony",
IF(B128="Printer",
"HP",
IF(B128="External Hard Disk",
"Western Digital",
"Other")))))))))</f>
        <v>Other</v>
      </c>
      <c r="E128" t="str">
        <f t="shared" si="5"/>
        <v>Ingram Micron India</v>
      </c>
      <c r="F128">
        <f t="shared" si="6"/>
        <v>35000</v>
      </c>
      <c r="G128">
        <f t="shared" si="7"/>
        <v>38500</v>
      </c>
    </row>
    <row r="129" spans="1:7" x14ac:dyDescent="0.25">
      <c r="A129" t="s">
        <v>128</v>
      </c>
      <c r="B129" t="s">
        <v>1001</v>
      </c>
      <c r="C129" t="str">
        <f t="shared" si="4"/>
        <v>Mobile and Wearables</v>
      </c>
      <c r="D129" t="str">
        <f>IF(B129="Smartphone",D130,
IF(B129="Smartwatch",
"Apple",
IF(B129="Laptop",
" Apple",
IF(B129="Desktop PC",
"Lenovo",
IF(B129="Tablet",
"Samsung",
IF(B129="Headphone",
"Sony",
IF(B129="Camera",
"Sony",
IF(B129="Printer",
"HP",
IF(B129="External Hard Disk",
"Western Digital",
"Other")))))))))</f>
        <v>Apple</v>
      </c>
      <c r="E129" t="str">
        <f t="shared" si="5"/>
        <v>Redington India</v>
      </c>
      <c r="F129">
        <f t="shared" si="6"/>
        <v>40000</v>
      </c>
      <c r="G129">
        <f t="shared" si="7"/>
        <v>44000</v>
      </c>
    </row>
    <row r="130" spans="1:7" x14ac:dyDescent="0.25">
      <c r="A130" t="s">
        <v>129</v>
      </c>
      <c r="B130" t="s">
        <v>1001</v>
      </c>
      <c r="C130" t="str">
        <f t="shared" si="4"/>
        <v>Mobile and Wearables</v>
      </c>
      <c r="D130" t="str">
        <f>IF(B130="Smartphone",D131,
IF(B130="Smartwatch",
"Apple",
IF(B130="Laptop",
" Apple",
IF(B130="Desktop PC",
"Lenovo",
IF(B130="Tablet",
"Samsung",
IF(B130="Headphone",
"Sony",
IF(B130="Camera",
"Sony",
IF(B130="Printer",
"HP",
IF(B130="External Hard Disk",
"Western Digital",
"Other")))))))))</f>
        <v>Apple</v>
      </c>
      <c r="E130" t="str">
        <f t="shared" si="5"/>
        <v>Redington India</v>
      </c>
      <c r="F130">
        <f t="shared" si="6"/>
        <v>40000</v>
      </c>
      <c r="G130">
        <f t="shared" si="7"/>
        <v>44000</v>
      </c>
    </row>
    <row r="131" spans="1:7" x14ac:dyDescent="0.25">
      <c r="A131" t="s">
        <v>130</v>
      </c>
      <c r="B131" t="s">
        <v>1004</v>
      </c>
      <c r="C131" t="str">
        <f t="shared" ref="C131:C194" si="8">IF(OR(B131="Laptop",B131="Desktop PC",B131="Tablet",B131="E-Reader"),
"Electronics (Computing Devices)",
IF(OR(B131="Smartphone",B131="Smartwatch"),
"Mobile and Wearables",
IF(B131="Headphone",
"Audio Devices",
IF(OR(B131="Printer",B131="Camera"),
"Office Equipments",
IF(B131="External Hard Disk",
"Storage Devices",
"Other")))))</f>
        <v>Electronics (Computing Devices)</v>
      </c>
      <c r="D131" t="str">
        <f>IF(B131="Smartphone",D132,
IF(B131="Smartwatch",
"Apple",
IF(B131="Laptop",
" Apple",
IF(B131="Desktop PC",
"Lenovo",
IF(B131="Tablet",
"Samsung",
IF(B131="Headphone",
"Sony",
IF(B131="Camera",
"Sony",
IF(B131="Printer",
"HP",
IF(B131="External Hard Disk",
"Western Digital",
"Other")))))))))</f>
        <v xml:space="preserve"> Apple</v>
      </c>
      <c r="E131" t="str">
        <f t="shared" ref="E131:E194" si="9">IF(D131="Apple",
"Redington India",
IF(D131="Samsung",
"Rashi Peripherals",
IF(D131="Sony",
"Supertron Electronics",
IF(OR(D131="Lenovo",D131="HP",D131="Dell"),
"Savex Technologies",
IF(C131="Printer",
"Rashi Peripherals",
IF(C131="Camera",
"Redington India",
IF(C131="External Hard Disk",
"Supertron Electronics",
"Ingram Micron India")))))))</f>
        <v>Ingram Micron India</v>
      </c>
      <c r="F131">
        <f t="shared" ref="F131:F194" si="10">IF(D131="Apple",
IF(C131="Smartphone",95000,
IF(C131="Tablet",75000,
IF(C131="Laptop",150000,
IF(C131="Smartwatch",90000,40000)))),
IF(D131="Samsung",
IF(C131="Smartphone",55000,
IF(C131="Tablet",40000,
IF(C131="Smartwatch",25000,30000))),
IF(D131="Lenovo",
IF(C131="Laptop",85000,
IF(C131="Desktop PC",70000,45000)),
IF(D131="HP",
IF(C131="Printer",30000,
IF(C131="Laptop",80000,40000)),
IF(D131="Sony",
IF(C131="Headphone",15000,
IF(C131="Camera",120000,60000)),
IF(C131="External Hard Disk",
IF(D131="Seagate",7000,
IF(D131="Western Digital",8000,7500)),
35000))))))</f>
        <v>35000</v>
      </c>
      <c r="G131">
        <f t="shared" ref="G131:G194" si="11">IF(C131="Smartphone",F131*1.1,
IF(C131="Laptop",F131*1.08,
IF(C131="Tablet",F131*1.12,
IF(C131="Smartwatch",F131*1.15,
IF(C131="Desktop PC",F131*1.07,
IF(C131="Printer",F131*1.18,
IF(C131="Camera",F131*1.12,
IF(C131="Headphone",F131*1.25,
IF(C131="External Hard Disk",F131*1.2,
F131*1.1)))))))))</f>
        <v>38500</v>
      </c>
    </row>
    <row r="132" spans="1:7" x14ac:dyDescent="0.25">
      <c r="A132" t="s">
        <v>131</v>
      </c>
      <c r="B132" t="s">
        <v>1003</v>
      </c>
      <c r="C132" t="str">
        <f t="shared" si="8"/>
        <v>Electronics (Computing Devices)</v>
      </c>
      <c r="D132" t="str">
        <f>IF(B132="Smartphone",D133,
IF(B132="Smartwatch",
"Apple",
IF(B132="Laptop",
" Apple",
IF(B132="Desktop PC",
"Lenovo",
IF(B132="Tablet",
"Samsung",
IF(B132="Headphone",
"Sony",
IF(B132="Camera",
"Sony",
IF(B132="Printer",
"HP",
IF(B132="External Hard Disk",
"Western Digital",
"Other")))))))))</f>
        <v>Other</v>
      </c>
      <c r="E132" t="str">
        <f t="shared" si="9"/>
        <v>Ingram Micron India</v>
      </c>
      <c r="F132">
        <f t="shared" si="10"/>
        <v>35000</v>
      </c>
      <c r="G132">
        <f t="shared" si="11"/>
        <v>38500</v>
      </c>
    </row>
    <row r="133" spans="1:7" x14ac:dyDescent="0.25">
      <c r="A133" t="s">
        <v>132</v>
      </c>
      <c r="B133" t="s">
        <v>1005</v>
      </c>
      <c r="C133" t="str">
        <f t="shared" si="8"/>
        <v>Electronics (Computing Devices)</v>
      </c>
      <c r="D133" t="str">
        <f>IF(B133="Smartphone",D134,
IF(B133="Smartwatch",
"Apple",
IF(B133="Laptop",
" Apple",
IF(B133="Desktop PC",
"Lenovo",
IF(B133="Tablet",
"Samsung",
IF(B133="Headphone",
"Sony",
IF(B133="Camera",
"Sony",
IF(B133="Printer",
"HP",
IF(B133="External Hard Disk",
"Western Digital",
"Other")))))))))</f>
        <v>Samsung</v>
      </c>
      <c r="E133" t="str">
        <f t="shared" si="9"/>
        <v>Rashi Peripherals</v>
      </c>
      <c r="F133">
        <f t="shared" si="10"/>
        <v>30000</v>
      </c>
      <c r="G133">
        <f t="shared" si="11"/>
        <v>33000</v>
      </c>
    </row>
    <row r="134" spans="1:7" x14ac:dyDescent="0.25">
      <c r="A134" t="s">
        <v>133</v>
      </c>
      <c r="B134" t="s">
        <v>1007</v>
      </c>
      <c r="C134" t="str">
        <f t="shared" si="8"/>
        <v>Mobile and Wearables</v>
      </c>
      <c r="D134" t="str">
        <f>IF(B134="Smartphone",D135,
IF(B134="Smartwatch",
"Apple",
IF(B134="Laptop",
" Apple",
IF(B134="Desktop PC",
"Lenovo",
IF(B134="Tablet",
"Samsung",
IF(B134="Headphone",
"Sony",
IF(B134="Camera",
"Sony",
IF(B134="Printer",
"HP",
IF(B134="External Hard Disk",
"Western Digital",
"Other")))))))))</f>
        <v>Western Digital</v>
      </c>
      <c r="E134" t="str">
        <f t="shared" si="9"/>
        <v>Ingram Micron India</v>
      </c>
      <c r="F134">
        <f t="shared" si="10"/>
        <v>35000</v>
      </c>
      <c r="G134">
        <f t="shared" si="11"/>
        <v>38500</v>
      </c>
    </row>
    <row r="135" spans="1:7" x14ac:dyDescent="0.25">
      <c r="A135" t="s">
        <v>134</v>
      </c>
      <c r="B135" t="s">
        <v>1013</v>
      </c>
      <c r="C135" t="str">
        <f t="shared" si="8"/>
        <v>Storage Devices</v>
      </c>
      <c r="D135" t="str">
        <f>IF(B135="Smartphone",D136,
IF(B135="Smartwatch",
"Apple",
IF(B135="Laptop",
" Apple",
IF(B135="Desktop PC",
"Lenovo",
IF(B135="Tablet",
"Samsung",
IF(B135="Headphone",
"Sony",
IF(B135="Camera",
"Sony",
IF(B135="Printer",
"HP",
IF(B135="External Hard Disk",
"Western Digital",
"Other")))))))))</f>
        <v>Western Digital</v>
      </c>
      <c r="E135" t="str">
        <f t="shared" si="9"/>
        <v>Ingram Micron India</v>
      </c>
      <c r="F135">
        <f t="shared" si="10"/>
        <v>35000</v>
      </c>
      <c r="G135">
        <f t="shared" si="11"/>
        <v>38500</v>
      </c>
    </row>
    <row r="136" spans="1:7" x14ac:dyDescent="0.25">
      <c r="A136" t="s">
        <v>135</v>
      </c>
      <c r="B136" t="s">
        <v>1010</v>
      </c>
      <c r="C136" t="str">
        <f t="shared" si="8"/>
        <v>Office Equipments</v>
      </c>
      <c r="D136" t="str">
        <f>IF(B136="Smartphone",D137,
IF(B136="Smartwatch",
"Apple",
IF(B136="Laptop",
" Apple",
IF(B136="Desktop PC",
"Lenovo",
IF(B136="Tablet",
"Samsung",
IF(B136="Headphone",
"Sony",
IF(B136="Camera",
"Sony",
IF(B136="Printer",
"HP",
IF(B136="External Hard Disk",
"Western Digital",
"Other")))))))))</f>
        <v>Sony</v>
      </c>
      <c r="E136" t="str">
        <f t="shared" si="9"/>
        <v>Supertron Electronics</v>
      </c>
      <c r="F136">
        <f t="shared" si="10"/>
        <v>60000</v>
      </c>
      <c r="G136">
        <f t="shared" si="11"/>
        <v>66000</v>
      </c>
    </row>
    <row r="137" spans="1:7" x14ac:dyDescent="0.25">
      <c r="A137" t="s">
        <v>136</v>
      </c>
      <c r="B137" t="s">
        <v>1007</v>
      </c>
      <c r="C137" t="str">
        <f t="shared" si="8"/>
        <v>Mobile and Wearables</v>
      </c>
      <c r="D137" t="str">
        <f>IF(B137="Smartphone",D138,
IF(B137="Smartwatch",
"Apple",
IF(B137="Laptop",
" Apple",
IF(B137="Desktop PC",
"Lenovo",
IF(B137="Tablet",
"Samsung",
IF(B137="Headphone",
"Sony",
IF(B137="Camera",
"Sony",
IF(B137="Printer",
"HP",
IF(B137="External Hard Disk",
"Western Digital",
"Other")))))))))</f>
        <v>Other</v>
      </c>
      <c r="E137" t="str">
        <f t="shared" si="9"/>
        <v>Ingram Micron India</v>
      </c>
      <c r="F137">
        <f t="shared" si="10"/>
        <v>35000</v>
      </c>
      <c r="G137">
        <f t="shared" si="11"/>
        <v>38500</v>
      </c>
    </row>
    <row r="138" spans="1:7" x14ac:dyDescent="0.25">
      <c r="A138" t="s">
        <v>137</v>
      </c>
      <c r="B138" t="s">
        <v>1003</v>
      </c>
      <c r="C138" t="str">
        <f t="shared" si="8"/>
        <v>Electronics (Computing Devices)</v>
      </c>
      <c r="D138" t="str">
        <f>IF(B138="Smartphone",D139,
IF(B138="Smartwatch",
"Apple",
IF(B138="Laptop",
" Apple",
IF(B138="Desktop PC",
"Lenovo",
IF(B138="Tablet",
"Samsung",
IF(B138="Headphone",
"Sony",
IF(B138="Camera",
"Sony",
IF(B138="Printer",
"HP",
IF(B138="External Hard Disk",
"Western Digital",
"Other")))))))))</f>
        <v>Other</v>
      </c>
      <c r="E138" t="str">
        <f t="shared" si="9"/>
        <v>Ingram Micron India</v>
      </c>
      <c r="F138">
        <f t="shared" si="10"/>
        <v>35000</v>
      </c>
      <c r="G138">
        <f t="shared" si="11"/>
        <v>38500</v>
      </c>
    </row>
    <row r="139" spans="1:7" x14ac:dyDescent="0.25">
      <c r="A139" t="s">
        <v>138</v>
      </c>
      <c r="B139" t="s">
        <v>1010</v>
      </c>
      <c r="C139" t="str">
        <f t="shared" si="8"/>
        <v>Office Equipments</v>
      </c>
      <c r="D139" t="str">
        <f>IF(B139="Smartphone",D140,
IF(B139="Smartwatch",
"Apple",
IF(B139="Laptop",
" Apple",
IF(B139="Desktop PC",
"Lenovo",
IF(B139="Tablet",
"Samsung",
IF(B139="Headphone",
"Sony",
IF(B139="Camera",
"Sony",
IF(B139="Printer",
"HP",
IF(B139="External Hard Disk",
"Western Digital",
"Other")))))))))</f>
        <v>Sony</v>
      </c>
      <c r="E139" t="str">
        <f t="shared" si="9"/>
        <v>Supertron Electronics</v>
      </c>
      <c r="F139">
        <f t="shared" si="10"/>
        <v>60000</v>
      </c>
      <c r="G139">
        <f t="shared" si="11"/>
        <v>66000</v>
      </c>
    </row>
    <row r="140" spans="1:7" x14ac:dyDescent="0.25">
      <c r="A140" t="s">
        <v>139</v>
      </c>
      <c r="B140" t="s">
        <v>1005</v>
      </c>
      <c r="C140" t="str">
        <f t="shared" si="8"/>
        <v>Electronics (Computing Devices)</v>
      </c>
      <c r="D140" t="str">
        <f>IF(B140="Smartphone",D141,
IF(B140="Smartwatch",
"Apple",
IF(B140="Laptop",
" Apple",
IF(B140="Desktop PC",
"Lenovo",
IF(B140="Tablet",
"Samsung",
IF(B140="Headphone",
"Sony",
IF(B140="Camera",
"Sony",
IF(B140="Printer",
"HP",
IF(B140="External Hard Disk",
"Western Digital",
"Other")))))))))</f>
        <v>Samsung</v>
      </c>
      <c r="E140" t="str">
        <f t="shared" si="9"/>
        <v>Rashi Peripherals</v>
      </c>
      <c r="F140">
        <f t="shared" si="10"/>
        <v>30000</v>
      </c>
      <c r="G140">
        <f t="shared" si="11"/>
        <v>33000</v>
      </c>
    </row>
    <row r="141" spans="1:7" x14ac:dyDescent="0.25">
      <c r="A141" t="s">
        <v>140</v>
      </c>
      <c r="B141" t="s">
        <v>1012</v>
      </c>
      <c r="C141" t="str">
        <f t="shared" si="8"/>
        <v>Audio Devices</v>
      </c>
      <c r="D141" t="str">
        <f>IF(B141="Smartphone",D142,
IF(B141="Smartwatch",
"Apple",
IF(B141="Laptop",
" Apple",
IF(B141="Desktop PC",
"Lenovo",
IF(B141="Tablet",
"Samsung",
IF(B141="Headphone",
"Sony",
IF(B141="Camera",
"Sony",
IF(B141="Printer",
"HP",
IF(B141="External Hard Disk",
"Western Digital",
"Other")))))))))</f>
        <v>Sony</v>
      </c>
      <c r="E141" t="str">
        <f t="shared" si="9"/>
        <v>Supertron Electronics</v>
      </c>
      <c r="F141">
        <f t="shared" si="10"/>
        <v>60000</v>
      </c>
      <c r="G141">
        <f t="shared" si="11"/>
        <v>66000</v>
      </c>
    </row>
    <row r="142" spans="1:7" x14ac:dyDescent="0.25">
      <c r="A142" t="s">
        <v>141</v>
      </c>
      <c r="B142" t="s">
        <v>1009</v>
      </c>
      <c r="C142" t="str">
        <f t="shared" si="8"/>
        <v>Office Equipments</v>
      </c>
      <c r="D142" t="str">
        <f>IF(B142="Smartphone",D143,
IF(B142="Smartwatch",
"Apple",
IF(B142="Laptop",
" Apple",
IF(B142="Desktop PC",
"Lenovo",
IF(B142="Tablet",
"Samsung",
IF(B142="Headphone",
"Sony",
IF(B142="Camera",
"Sony",
IF(B142="Printer",
"HP",
IF(B142="External Hard Disk",
"Western Digital",
"Other")))))))))</f>
        <v>HP</v>
      </c>
      <c r="E142" t="str">
        <f t="shared" si="9"/>
        <v>Savex Technologies</v>
      </c>
      <c r="F142">
        <f t="shared" si="10"/>
        <v>40000</v>
      </c>
      <c r="G142">
        <f t="shared" si="11"/>
        <v>44000</v>
      </c>
    </row>
    <row r="143" spans="1:7" x14ac:dyDescent="0.25">
      <c r="A143" t="s">
        <v>142</v>
      </c>
      <c r="B143" t="s">
        <v>1002</v>
      </c>
      <c r="C143" t="str">
        <f t="shared" si="8"/>
        <v>Electronics (Computing Devices)</v>
      </c>
      <c r="D143" t="str">
        <f>IF(B143="Smartphone",D144,
IF(B143="Smartwatch",
"Apple",
IF(B143="Laptop",
" Apple",
IF(B143="Desktop PC",
"Lenovo",
IF(B143="Tablet",
"Samsung",
IF(B143="Headphone",
"Sony",
IF(B143="Camera",
"Sony",
IF(B143="Printer",
"HP",
IF(B143="External Hard Disk",
"Western Digital",
"Other")))))))))</f>
        <v>Lenovo</v>
      </c>
      <c r="E143" t="str">
        <f t="shared" si="9"/>
        <v>Savex Technologies</v>
      </c>
      <c r="F143">
        <f t="shared" si="10"/>
        <v>45000</v>
      </c>
      <c r="G143">
        <f t="shared" si="11"/>
        <v>49500.000000000007</v>
      </c>
    </row>
    <row r="144" spans="1:7" x14ac:dyDescent="0.25">
      <c r="A144" t="s">
        <v>143</v>
      </c>
      <c r="B144" t="s">
        <v>1013</v>
      </c>
      <c r="C144" t="str">
        <f t="shared" si="8"/>
        <v>Storage Devices</v>
      </c>
      <c r="D144" t="str">
        <f>IF(B144="Smartphone",D145,
IF(B144="Smartwatch",
"Apple",
IF(B144="Laptop",
" Apple",
IF(B144="Desktop PC",
"Lenovo",
IF(B144="Tablet",
"Samsung",
IF(B144="Headphone",
"Sony",
IF(B144="Camera",
"Sony",
IF(B144="Printer",
"HP",
IF(B144="External Hard Disk",
"Western Digital",
"Other")))))))))</f>
        <v>Western Digital</v>
      </c>
      <c r="E144" t="str">
        <f t="shared" si="9"/>
        <v>Ingram Micron India</v>
      </c>
      <c r="F144">
        <f t="shared" si="10"/>
        <v>35000</v>
      </c>
      <c r="G144">
        <f t="shared" si="11"/>
        <v>38500</v>
      </c>
    </row>
    <row r="145" spans="1:7" x14ac:dyDescent="0.25">
      <c r="A145" t="s">
        <v>144</v>
      </c>
      <c r="B145" t="s">
        <v>1013</v>
      </c>
      <c r="C145" t="str">
        <f t="shared" si="8"/>
        <v>Storage Devices</v>
      </c>
      <c r="D145" t="str">
        <f>IF(B145="Smartphone",D146,
IF(B145="Smartwatch",
"Apple",
IF(B145="Laptop",
" Apple",
IF(B145="Desktop PC",
"Lenovo",
IF(B145="Tablet",
"Samsung",
IF(B145="Headphone",
"Sony",
IF(B145="Camera",
"Sony",
IF(B145="Printer",
"HP",
IF(B145="External Hard Disk",
"Western Digital",
"Other")))))))))</f>
        <v>Western Digital</v>
      </c>
      <c r="E145" t="str">
        <f t="shared" si="9"/>
        <v>Ingram Micron India</v>
      </c>
      <c r="F145">
        <f t="shared" si="10"/>
        <v>35000</v>
      </c>
      <c r="G145">
        <f t="shared" si="11"/>
        <v>38500</v>
      </c>
    </row>
    <row r="146" spans="1:7" x14ac:dyDescent="0.25">
      <c r="A146" t="s">
        <v>145</v>
      </c>
      <c r="B146" t="s">
        <v>1002</v>
      </c>
      <c r="C146" t="str">
        <f t="shared" si="8"/>
        <v>Electronics (Computing Devices)</v>
      </c>
      <c r="D146" t="str">
        <f>IF(B146="Smartphone",D147,
IF(B146="Smartwatch",
"Apple",
IF(B146="Laptop",
" Apple",
IF(B146="Desktop PC",
"Lenovo",
IF(B146="Tablet",
"Samsung",
IF(B146="Headphone",
"Sony",
IF(B146="Camera",
"Sony",
IF(B146="Printer",
"HP",
IF(B146="External Hard Disk",
"Western Digital",
"Other")))))))))</f>
        <v>Lenovo</v>
      </c>
      <c r="E146" t="str">
        <f t="shared" si="9"/>
        <v>Savex Technologies</v>
      </c>
      <c r="F146">
        <f t="shared" si="10"/>
        <v>45000</v>
      </c>
      <c r="G146">
        <f t="shared" si="11"/>
        <v>49500.000000000007</v>
      </c>
    </row>
    <row r="147" spans="1:7" x14ac:dyDescent="0.25">
      <c r="A147" t="s">
        <v>146</v>
      </c>
      <c r="B147" t="s">
        <v>1004</v>
      </c>
      <c r="C147" t="str">
        <f t="shared" si="8"/>
        <v>Electronics (Computing Devices)</v>
      </c>
      <c r="D147" t="str">
        <f>IF(B147="Smartphone",D148,
IF(B147="Smartwatch",
"Apple",
IF(B147="Laptop",
" Apple",
IF(B147="Desktop PC",
"Lenovo",
IF(B147="Tablet",
"Samsung",
IF(B147="Headphone",
"Sony",
IF(B147="Camera",
"Sony",
IF(B147="Printer",
"HP",
IF(B147="External Hard Disk",
"Western Digital",
"Other")))))))))</f>
        <v xml:space="preserve"> Apple</v>
      </c>
      <c r="E147" t="str">
        <f t="shared" si="9"/>
        <v>Ingram Micron India</v>
      </c>
      <c r="F147">
        <f t="shared" si="10"/>
        <v>35000</v>
      </c>
      <c r="G147">
        <f t="shared" si="11"/>
        <v>38500</v>
      </c>
    </row>
    <row r="148" spans="1:7" x14ac:dyDescent="0.25">
      <c r="A148" t="s">
        <v>147</v>
      </c>
      <c r="B148" t="s">
        <v>1003</v>
      </c>
      <c r="C148" t="str">
        <f t="shared" si="8"/>
        <v>Electronics (Computing Devices)</v>
      </c>
      <c r="D148" t="str">
        <f>IF(B148="Smartphone",D149,
IF(B148="Smartwatch",
"Apple",
IF(B148="Laptop",
" Apple",
IF(B148="Desktop PC",
"Lenovo",
IF(B148="Tablet",
"Samsung",
IF(B148="Headphone",
"Sony",
IF(B148="Camera",
"Sony",
IF(B148="Printer",
"HP",
IF(B148="External Hard Disk",
"Western Digital",
"Other")))))))))</f>
        <v>Other</v>
      </c>
      <c r="E148" t="str">
        <f t="shared" si="9"/>
        <v>Ingram Micron India</v>
      </c>
      <c r="F148">
        <f t="shared" si="10"/>
        <v>35000</v>
      </c>
      <c r="G148">
        <f t="shared" si="11"/>
        <v>38500</v>
      </c>
    </row>
    <row r="149" spans="1:7" x14ac:dyDescent="0.25">
      <c r="A149" t="s">
        <v>148</v>
      </c>
      <c r="B149" t="s">
        <v>1002</v>
      </c>
      <c r="C149" t="str">
        <f t="shared" si="8"/>
        <v>Electronics (Computing Devices)</v>
      </c>
      <c r="D149" t="str">
        <f>IF(B149="Smartphone",D150,
IF(B149="Smartwatch",
"Apple",
IF(B149="Laptop",
" Apple",
IF(B149="Desktop PC",
"Lenovo",
IF(B149="Tablet",
"Samsung",
IF(B149="Headphone",
"Sony",
IF(B149="Camera",
"Sony",
IF(B149="Printer",
"HP",
IF(B149="External Hard Disk",
"Western Digital",
"Other")))))))))</f>
        <v>Lenovo</v>
      </c>
      <c r="E149" t="str">
        <f t="shared" si="9"/>
        <v>Savex Technologies</v>
      </c>
      <c r="F149">
        <f t="shared" si="10"/>
        <v>45000</v>
      </c>
      <c r="G149">
        <f t="shared" si="11"/>
        <v>49500.000000000007</v>
      </c>
    </row>
    <row r="150" spans="1:7" x14ac:dyDescent="0.25">
      <c r="A150" t="s">
        <v>149</v>
      </c>
      <c r="B150" t="s">
        <v>1010</v>
      </c>
      <c r="C150" t="str">
        <f t="shared" si="8"/>
        <v>Office Equipments</v>
      </c>
      <c r="D150" t="str">
        <f>IF(B150="Smartphone",D151,
IF(B150="Smartwatch",
"Apple",
IF(B150="Laptop",
" Apple",
IF(B150="Desktop PC",
"Lenovo",
IF(B150="Tablet",
"Samsung",
IF(B150="Headphone",
"Sony",
IF(B150="Camera",
"Sony",
IF(B150="Printer",
"HP",
IF(B150="External Hard Disk",
"Western Digital",
"Other")))))))))</f>
        <v>Sony</v>
      </c>
      <c r="E150" t="str">
        <f t="shared" si="9"/>
        <v>Supertron Electronics</v>
      </c>
      <c r="F150">
        <f t="shared" si="10"/>
        <v>60000</v>
      </c>
      <c r="G150">
        <f t="shared" si="11"/>
        <v>66000</v>
      </c>
    </row>
    <row r="151" spans="1:7" x14ac:dyDescent="0.25">
      <c r="A151" t="s">
        <v>150</v>
      </c>
      <c r="B151" t="s">
        <v>1002</v>
      </c>
      <c r="C151" t="str">
        <f t="shared" si="8"/>
        <v>Electronics (Computing Devices)</v>
      </c>
      <c r="D151" t="str">
        <f>IF(B151="Smartphone",D152,
IF(B151="Smartwatch",
"Apple",
IF(B151="Laptop",
" Apple",
IF(B151="Desktop PC",
"Lenovo",
IF(B151="Tablet",
"Samsung",
IF(B151="Headphone",
"Sony",
IF(B151="Camera",
"Sony",
IF(B151="Printer",
"HP",
IF(B151="External Hard Disk",
"Western Digital",
"Other")))))))))</f>
        <v>Lenovo</v>
      </c>
      <c r="E151" t="str">
        <f t="shared" si="9"/>
        <v>Savex Technologies</v>
      </c>
      <c r="F151">
        <f t="shared" si="10"/>
        <v>45000</v>
      </c>
      <c r="G151">
        <f t="shared" si="11"/>
        <v>49500.000000000007</v>
      </c>
    </row>
    <row r="152" spans="1:7" x14ac:dyDescent="0.25">
      <c r="A152" t="s">
        <v>151</v>
      </c>
      <c r="B152" t="s">
        <v>1012</v>
      </c>
      <c r="C152" t="str">
        <f t="shared" si="8"/>
        <v>Audio Devices</v>
      </c>
      <c r="D152" t="str">
        <f>IF(B152="Smartphone",D153,
IF(B152="Smartwatch",
"Apple",
IF(B152="Laptop",
" Apple",
IF(B152="Desktop PC",
"Lenovo",
IF(B152="Tablet",
"Samsung",
IF(B152="Headphone",
"Sony",
IF(B152="Camera",
"Sony",
IF(B152="Printer",
"HP",
IF(B152="External Hard Disk",
"Western Digital",
"Other")))))))))</f>
        <v>Sony</v>
      </c>
      <c r="E152" t="str">
        <f t="shared" si="9"/>
        <v>Supertron Electronics</v>
      </c>
      <c r="F152">
        <f t="shared" si="10"/>
        <v>60000</v>
      </c>
      <c r="G152">
        <f t="shared" si="11"/>
        <v>66000</v>
      </c>
    </row>
    <row r="153" spans="1:7" x14ac:dyDescent="0.25">
      <c r="A153" t="s">
        <v>152</v>
      </c>
      <c r="B153" t="s">
        <v>1009</v>
      </c>
      <c r="C153" t="str">
        <f t="shared" si="8"/>
        <v>Office Equipments</v>
      </c>
      <c r="D153" t="str">
        <f>IF(B153="Smartphone",D154,
IF(B153="Smartwatch",
"Apple",
IF(B153="Laptop",
" Apple",
IF(B153="Desktop PC",
"Lenovo",
IF(B153="Tablet",
"Samsung",
IF(B153="Headphone",
"Sony",
IF(B153="Camera",
"Sony",
IF(B153="Printer",
"HP",
IF(B153="External Hard Disk",
"Western Digital",
"Other")))))))))</f>
        <v>HP</v>
      </c>
      <c r="E153" t="str">
        <f t="shared" si="9"/>
        <v>Savex Technologies</v>
      </c>
      <c r="F153">
        <f t="shared" si="10"/>
        <v>40000</v>
      </c>
      <c r="G153">
        <f t="shared" si="11"/>
        <v>44000</v>
      </c>
    </row>
    <row r="154" spans="1:7" x14ac:dyDescent="0.25">
      <c r="A154" t="s">
        <v>153</v>
      </c>
      <c r="B154" t="s">
        <v>1007</v>
      </c>
      <c r="C154" t="str">
        <f t="shared" si="8"/>
        <v>Mobile and Wearables</v>
      </c>
      <c r="D154" t="str">
        <f>IF(B154="Smartphone",D155,
IF(B154="Smartwatch",
"Apple",
IF(B154="Laptop",
" Apple",
IF(B154="Desktop PC",
"Lenovo",
IF(B154="Tablet",
"Samsung",
IF(B154="Headphone",
"Sony",
IF(B154="Camera",
"Sony",
IF(B154="Printer",
"HP",
IF(B154="External Hard Disk",
"Western Digital",
"Other")))))))))</f>
        <v>Other</v>
      </c>
      <c r="E154" t="str">
        <f t="shared" si="9"/>
        <v>Ingram Micron India</v>
      </c>
      <c r="F154">
        <f t="shared" si="10"/>
        <v>35000</v>
      </c>
      <c r="G154">
        <f t="shared" si="11"/>
        <v>38500</v>
      </c>
    </row>
    <row r="155" spans="1:7" x14ac:dyDescent="0.25">
      <c r="A155" t="s">
        <v>154</v>
      </c>
      <c r="B155" t="s">
        <v>1003</v>
      </c>
      <c r="C155" t="str">
        <f t="shared" si="8"/>
        <v>Electronics (Computing Devices)</v>
      </c>
      <c r="D155" t="str">
        <f>IF(B155="Smartphone",D156,
IF(B155="Smartwatch",
"Apple",
IF(B155="Laptop",
" Apple",
IF(B155="Desktop PC",
"Lenovo",
IF(B155="Tablet",
"Samsung",
IF(B155="Headphone",
"Sony",
IF(B155="Camera",
"Sony",
IF(B155="Printer",
"HP",
IF(B155="External Hard Disk",
"Western Digital",
"Other")))))))))</f>
        <v>Other</v>
      </c>
      <c r="E155" t="str">
        <f t="shared" si="9"/>
        <v>Ingram Micron India</v>
      </c>
      <c r="F155">
        <f t="shared" si="10"/>
        <v>35000</v>
      </c>
      <c r="G155">
        <f t="shared" si="11"/>
        <v>38500</v>
      </c>
    </row>
    <row r="156" spans="1:7" x14ac:dyDescent="0.25">
      <c r="A156" t="s">
        <v>155</v>
      </c>
      <c r="B156" t="s">
        <v>1012</v>
      </c>
      <c r="C156" t="str">
        <f t="shared" si="8"/>
        <v>Audio Devices</v>
      </c>
      <c r="D156" t="str">
        <f>IF(B156="Smartphone",D157,
IF(B156="Smartwatch",
"Apple",
IF(B156="Laptop",
" Apple",
IF(B156="Desktop PC",
"Lenovo",
IF(B156="Tablet",
"Samsung",
IF(B156="Headphone",
"Sony",
IF(B156="Camera",
"Sony",
IF(B156="Printer",
"HP",
IF(B156="External Hard Disk",
"Western Digital",
"Other")))))))))</f>
        <v>Sony</v>
      </c>
      <c r="E156" t="str">
        <f t="shared" si="9"/>
        <v>Supertron Electronics</v>
      </c>
      <c r="F156">
        <f t="shared" si="10"/>
        <v>60000</v>
      </c>
      <c r="G156">
        <f t="shared" si="11"/>
        <v>66000</v>
      </c>
    </row>
    <row r="157" spans="1:7" x14ac:dyDescent="0.25">
      <c r="A157" t="s">
        <v>156</v>
      </c>
      <c r="B157" t="s">
        <v>1003</v>
      </c>
      <c r="C157" t="str">
        <f t="shared" si="8"/>
        <v>Electronics (Computing Devices)</v>
      </c>
      <c r="D157" t="str">
        <f>IF(B157="Smartphone",D158,
IF(B157="Smartwatch",
"Apple",
IF(B157="Laptop",
" Apple",
IF(B157="Desktop PC",
"Lenovo",
IF(B157="Tablet",
"Samsung",
IF(B157="Headphone",
"Sony",
IF(B157="Camera",
"Sony",
IF(B157="Printer",
"HP",
IF(B157="External Hard Disk",
"Western Digital",
"Other")))))))))</f>
        <v>Other</v>
      </c>
      <c r="E157" t="str">
        <f t="shared" si="9"/>
        <v>Ingram Micron India</v>
      </c>
      <c r="F157">
        <f t="shared" si="10"/>
        <v>35000</v>
      </c>
      <c r="G157">
        <f t="shared" si="11"/>
        <v>38500</v>
      </c>
    </row>
    <row r="158" spans="1:7" x14ac:dyDescent="0.25">
      <c r="A158" t="s">
        <v>157</v>
      </c>
      <c r="B158" t="s">
        <v>1007</v>
      </c>
      <c r="C158" t="str">
        <f t="shared" si="8"/>
        <v>Mobile and Wearables</v>
      </c>
      <c r="D158" t="str">
        <f>IF(B158="Smartphone",D159,
IF(B158="Smartwatch",
"Apple",
IF(B158="Laptop",
" Apple",
IF(B158="Desktop PC",
"Lenovo",
IF(B158="Tablet",
"Samsung",
IF(B158="Headphone",
"Sony",
IF(B158="Camera",
"Sony",
IF(B158="Printer",
"HP",
IF(B158="External Hard Disk",
"Western Digital",
"Other")))))))))</f>
        <v>Other</v>
      </c>
      <c r="E158" t="str">
        <f t="shared" si="9"/>
        <v>Ingram Micron India</v>
      </c>
      <c r="F158">
        <f t="shared" si="10"/>
        <v>35000</v>
      </c>
      <c r="G158">
        <f t="shared" si="11"/>
        <v>38500</v>
      </c>
    </row>
    <row r="159" spans="1:7" x14ac:dyDescent="0.25">
      <c r="A159" t="s">
        <v>158</v>
      </c>
      <c r="B159" t="s">
        <v>1003</v>
      </c>
      <c r="C159" t="str">
        <f t="shared" si="8"/>
        <v>Electronics (Computing Devices)</v>
      </c>
      <c r="D159" t="str">
        <f>IF(B159="Smartphone",D160,
IF(B159="Smartwatch",
"Apple",
IF(B159="Laptop",
" Apple",
IF(B159="Desktop PC",
"Lenovo",
IF(B159="Tablet",
"Samsung",
IF(B159="Headphone",
"Sony",
IF(B159="Camera",
"Sony",
IF(B159="Printer",
"HP",
IF(B159="External Hard Disk",
"Western Digital",
"Other")))))))))</f>
        <v>Other</v>
      </c>
      <c r="E159" t="str">
        <f t="shared" si="9"/>
        <v>Ingram Micron India</v>
      </c>
      <c r="F159">
        <f t="shared" si="10"/>
        <v>35000</v>
      </c>
      <c r="G159">
        <f t="shared" si="11"/>
        <v>38500</v>
      </c>
    </row>
    <row r="160" spans="1:7" x14ac:dyDescent="0.25">
      <c r="A160" t="s">
        <v>159</v>
      </c>
      <c r="B160" t="s">
        <v>1001</v>
      </c>
      <c r="C160" t="str">
        <f t="shared" si="8"/>
        <v>Mobile and Wearables</v>
      </c>
      <c r="D160" t="str">
        <f>IF(B160="Smartphone",D161,
IF(B160="Smartwatch",
"Apple",
IF(B160="Laptop",
" Apple",
IF(B160="Desktop PC",
"Lenovo",
IF(B160="Tablet",
"Samsung",
IF(B160="Headphone",
"Sony",
IF(B160="Camera",
"Sony",
IF(B160="Printer",
"HP",
IF(B160="External Hard Disk",
"Western Digital",
"Other")))))))))</f>
        <v>Apple</v>
      </c>
      <c r="E160" t="str">
        <f t="shared" si="9"/>
        <v>Redington India</v>
      </c>
      <c r="F160">
        <f t="shared" si="10"/>
        <v>40000</v>
      </c>
      <c r="G160">
        <f t="shared" si="11"/>
        <v>44000</v>
      </c>
    </row>
    <row r="161" spans="1:7" x14ac:dyDescent="0.25">
      <c r="A161" t="s">
        <v>160</v>
      </c>
      <c r="B161" t="s">
        <v>1007</v>
      </c>
      <c r="C161" t="str">
        <f t="shared" si="8"/>
        <v>Mobile and Wearables</v>
      </c>
      <c r="D161" t="str">
        <f>IF(B161="Smartphone",D162,
IF(B161="Smartwatch",
"Apple",
IF(B161="Laptop",
" Apple",
IF(B161="Desktop PC",
"Lenovo",
IF(B161="Tablet",
"Samsung",
IF(B161="Headphone",
"Sony",
IF(B161="Camera",
"Sony",
IF(B161="Printer",
"HP",
IF(B161="External Hard Disk",
"Western Digital",
"Other")))))))))</f>
        <v>Lenovo</v>
      </c>
      <c r="E161" t="str">
        <f t="shared" si="9"/>
        <v>Savex Technologies</v>
      </c>
      <c r="F161">
        <f t="shared" si="10"/>
        <v>45000</v>
      </c>
      <c r="G161">
        <f t="shared" si="11"/>
        <v>49500.000000000007</v>
      </c>
    </row>
    <row r="162" spans="1:7" x14ac:dyDescent="0.25">
      <c r="A162" t="s">
        <v>161</v>
      </c>
      <c r="B162" t="s">
        <v>1002</v>
      </c>
      <c r="C162" t="str">
        <f t="shared" si="8"/>
        <v>Electronics (Computing Devices)</v>
      </c>
      <c r="D162" t="str">
        <f>IF(B162="Smartphone",D163,
IF(B162="Smartwatch",
"Apple",
IF(B162="Laptop",
" Apple",
IF(B162="Desktop PC",
"Lenovo",
IF(B162="Tablet",
"Samsung",
IF(B162="Headphone",
"Sony",
IF(B162="Camera",
"Sony",
IF(B162="Printer",
"HP",
IF(B162="External Hard Disk",
"Western Digital",
"Other")))))))))</f>
        <v>Lenovo</v>
      </c>
      <c r="E162" t="str">
        <f t="shared" si="9"/>
        <v>Savex Technologies</v>
      </c>
      <c r="F162">
        <f t="shared" si="10"/>
        <v>45000</v>
      </c>
      <c r="G162">
        <f t="shared" si="11"/>
        <v>49500.000000000007</v>
      </c>
    </row>
    <row r="163" spans="1:7" x14ac:dyDescent="0.25">
      <c r="A163" t="s">
        <v>162</v>
      </c>
      <c r="B163" t="s">
        <v>1010</v>
      </c>
      <c r="C163" t="str">
        <f t="shared" si="8"/>
        <v>Office Equipments</v>
      </c>
      <c r="D163" t="str">
        <f>IF(B163="Smartphone",D164,
IF(B163="Smartwatch",
"Apple",
IF(B163="Laptop",
" Apple",
IF(B163="Desktop PC",
"Lenovo",
IF(B163="Tablet",
"Samsung",
IF(B163="Headphone",
"Sony",
IF(B163="Camera",
"Sony",
IF(B163="Printer",
"HP",
IF(B163="External Hard Disk",
"Western Digital",
"Other")))))))))</f>
        <v>Sony</v>
      </c>
      <c r="E163" t="str">
        <f t="shared" si="9"/>
        <v>Supertron Electronics</v>
      </c>
      <c r="F163">
        <f t="shared" si="10"/>
        <v>60000</v>
      </c>
      <c r="G163">
        <f t="shared" si="11"/>
        <v>66000</v>
      </c>
    </row>
    <row r="164" spans="1:7" x14ac:dyDescent="0.25">
      <c r="A164" t="s">
        <v>163</v>
      </c>
      <c r="B164" t="s">
        <v>1002</v>
      </c>
      <c r="C164" t="str">
        <f t="shared" si="8"/>
        <v>Electronics (Computing Devices)</v>
      </c>
      <c r="D164" t="str">
        <f>IF(B164="Smartphone",D165,
IF(B164="Smartwatch",
"Apple",
IF(B164="Laptop",
" Apple",
IF(B164="Desktop PC",
"Lenovo",
IF(B164="Tablet",
"Samsung",
IF(B164="Headphone",
"Sony",
IF(B164="Camera",
"Sony",
IF(B164="Printer",
"HP",
IF(B164="External Hard Disk",
"Western Digital",
"Other")))))))))</f>
        <v>Lenovo</v>
      </c>
      <c r="E164" t="str">
        <f t="shared" si="9"/>
        <v>Savex Technologies</v>
      </c>
      <c r="F164">
        <f t="shared" si="10"/>
        <v>45000</v>
      </c>
      <c r="G164">
        <f t="shared" si="11"/>
        <v>49500.000000000007</v>
      </c>
    </row>
    <row r="165" spans="1:7" x14ac:dyDescent="0.25">
      <c r="A165" t="s">
        <v>164</v>
      </c>
      <c r="B165" t="s">
        <v>1013</v>
      </c>
      <c r="C165" t="str">
        <f t="shared" si="8"/>
        <v>Storage Devices</v>
      </c>
      <c r="D165" t="str">
        <f>IF(B165="Smartphone",D166,
IF(B165="Smartwatch",
"Apple",
IF(B165="Laptop",
" Apple",
IF(B165="Desktop PC",
"Lenovo",
IF(B165="Tablet",
"Samsung",
IF(B165="Headphone",
"Sony",
IF(B165="Camera",
"Sony",
IF(B165="Printer",
"HP",
IF(B165="External Hard Disk",
"Western Digital",
"Other")))))))))</f>
        <v>Western Digital</v>
      </c>
      <c r="E165" t="str">
        <f t="shared" si="9"/>
        <v>Ingram Micron India</v>
      </c>
      <c r="F165">
        <f t="shared" si="10"/>
        <v>35000</v>
      </c>
      <c r="G165">
        <f t="shared" si="11"/>
        <v>38500</v>
      </c>
    </row>
    <row r="166" spans="1:7" x14ac:dyDescent="0.25">
      <c r="A166" t="s">
        <v>165</v>
      </c>
      <c r="B166" t="s">
        <v>1004</v>
      </c>
      <c r="C166" t="str">
        <f t="shared" si="8"/>
        <v>Electronics (Computing Devices)</v>
      </c>
      <c r="D166" t="str">
        <f>IF(B166="Smartphone",D167,
IF(B166="Smartwatch",
"Apple",
IF(B166="Laptop",
" Apple",
IF(B166="Desktop PC",
"Lenovo",
IF(B166="Tablet",
"Samsung",
IF(B166="Headphone",
"Sony",
IF(B166="Camera",
"Sony",
IF(B166="Printer",
"HP",
IF(B166="External Hard Disk",
"Western Digital",
"Other")))))))))</f>
        <v xml:space="preserve"> Apple</v>
      </c>
      <c r="E166" t="str">
        <f t="shared" si="9"/>
        <v>Ingram Micron India</v>
      </c>
      <c r="F166">
        <f t="shared" si="10"/>
        <v>35000</v>
      </c>
      <c r="G166">
        <f t="shared" si="11"/>
        <v>38500</v>
      </c>
    </row>
    <row r="167" spans="1:7" x14ac:dyDescent="0.25">
      <c r="A167" t="s">
        <v>166</v>
      </c>
      <c r="B167" t="s">
        <v>1013</v>
      </c>
      <c r="C167" t="str">
        <f t="shared" si="8"/>
        <v>Storage Devices</v>
      </c>
      <c r="D167" t="str">
        <f>IF(B167="Smartphone",D168,
IF(B167="Smartwatch",
"Apple",
IF(B167="Laptop",
" Apple",
IF(B167="Desktop PC",
"Lenovo",
IF(B167="Tablet",
"Samsung",
IF(B167="Headphone",
"Sony",
IF(B167="Camera",
"Sony",
IF(B167="Printer",
"HP",
IF(B167="External Hard Disk",
"Western Digital",
"Other")))))))))</f>
        <v>Western Digital</v>
      </c>
      <c r="E167" t="str">
        <f t="shared" si="9"/>
        <v>Ingram Micron India</v>
      </c>
      <c r="F167">
        <f t="shared" si="10"/>
        <v>35000</v>
      </c>
      <c r="G167">
        <f t="shared" si="11"/>
        <v>38500</v>
      </c>
    </row>
    <row r="168" spans="1:7" x14ac:dyDescent="0.25">
      <c r="A168" t="s">
        <v>167</v>
      </c>
      <c r="B168" t="s">
        <v>1010</v>
      </c>
      <c r="C168" t="str">
        <f t="shared" si="8"/>
        <v>Office Equipments</v>
      </c>
      <c r="D168" t="str">
        <f>IF(B168="Smartphone",D169,
IF(B168="Smartwatch",
"Apple",
IF(B168="Laptop",
" Apple",
IF(B168="Desktop PC",
"Lenovo",
IF(B168="Tablet",
"Samsung",
IF(B168="Headphone",
"Sony",
IF(B168="Camera",
"Sony",
IF(B168="Printer",
"HP",
IF(B168="External Hard Disk",
"Western Digital",
"Other")))))))))</f>
        <v>Sony</v>
      </c>
      <c r="E168" t="str">
        <f t="shared" si="9"/>
        <v>Supertron Electronics</v>
      </c>
      <c r="F168">
        <f t="shared" si="10"/>
        <v>60000</v>
      </c>
      <c r="G168">
        <f t="shared" si="11"/>
        <v>66000</v>
      </c>
    </row>
    <row r="169" spans="1:7" x14ac:dyDescent="0.25">
      <c r="A169" t="s">
        <v>168</v>
      </c>
      <c r="B169" t="s">
        <v>1007</v>
      </c>
      <c r="C169" t="str">
        <f t="shared" si="8"/>
        <v>Mobile and Wearables</v>
      </c>
      <c r="D169" t="str">
        <f>IF(B169="Smartphone",D170,
IF(B169="Smartwatch",
"Apple",
IF(B169="Laptop",
" Apple",
IF(B169="Desktop PC",
"Lenovo",
IF(B169="Tablet",
"Samsung",
IF(B169="Headphone",
"Sony",
IF(B169="Camera",
"Sony",
IF(B169="Printer",
"HP",
IF(B169="External Hard Disk",
"Western Digital",
"Other")))))))))</f>
        <v>Western Digital</v>
      </c>
      <c r="E169" t="str">
        <f t="shared" si="9"/>
        <v>Ingram Micron India</v>
      </c>
      <c r="F169">
        <f t="shared" si="10"/>
        <v>35000</v>
      </c>
      <c r="G169">
        <f t="shared" si="11"/>
        <v>38500</v>
      </c>
    </row>
    <row r="170" spans="1:7" x14ac:dyDescent="0.25">
      <c r="A170" t="s">
        <v>169</v>
      </c>
      <c r="B170" t="s">
        <v>1013</v>
      </c>
      <c r="C170" t="str">
        <f t="shared" si="8"/>
        <v>Storage Devices</v>
      </c>
      <c r="D170" t="str">
        <f>IF(B170="Smartphone",D171,
IF(B170="Smartwatch",
"Apple",
IF(B170="Laptop",
" Apple",
IF(B170="Desktop PC",
"Lenovo",
IF(B170="Tablet",
"Samsung",
IF(B170="Headphone",
"Sony",
IF(B170="Camera",
"Sony",
IF(B170="Printer",
"HP",
IF(B170="External Hard Disk",
"Western Digital",
"Other")))))))))</f>
        <v>Western Digital</v>
      </c>
      <c r="E170" t="str">
        <f t="shared" si="9"/>
        <v>Ingram Micron India</v>
      </c>
      <c r="F170">
        <f t="shared" si="10"/>
        <v>35000</v>
      </c>
      <c r="G170">
        <f t="shared" si="11"/>
        <v>38500</v>
      </c>
    </row>
    <row r="171" spans="1:7" x14ac:dyDescent="0.25">
      <c r="A171" t="s">
        <v>170</v>
      </c>
      <c r="B171" t="s">
        <v>1009</v>
      </c>
      <c r="C171" t="str">
        <f t="shared" si="8"/>
        <v>Office Equipments</v>
      </c>
      <c r="D171" t="str">
        <f>IF(B171="Smartphone",D172,
IF(B171="Smartwatch",
"Apple",
IF(B171="Laptop",
" Apple",
IF(B171="Desktop PC",
"Lenovo",
IF(B171="Tablet",
"Samsung",
IF(B171="Headphone",
"Sony",
IF(B171="Camera",
"Sony",
IF(B171="Printer",
"HP",
IF(B171="External Hard Disk",
"Western Digital",
"Other")))))))))</f>
        <v>HP</v>
      </c>
      <c r="E171" t="str">
        <f t="shared" si="9"/>
        <v>Savex Technologies</v>
      </c>
      <c r="F171">
        <f t="shared" si="10"/>
        <v>40000</v>
      </c>
      <c r="G171">
        <f t="shared" si="11"/>
        <v>44000</v>
      </c>
    </row>
    <row r="172" spans="1:7" x14ac:dyDescent="0.25">
      <c r="A172" t="s">
        <v>171</v>
      </c>
      <c r="B172" t="s">
        <v>1012</v>
      </c>
      <c r="C172" t="str">
        <f t="shared" si="8"/>
        <v>Audio Devices</v>
      </c>
      <c r="D172" t="str">
        <f>IF(B172="Smartphone",D173,
IF(B172="Smartwatch",
"Apple",
IF(B172="Laptop",
" Apple",
IF(B172="Desktop PC",
"Lenovo",
IF(B172="Tablet",
"Samsung",
IF(B172="Headphone",
"Sony",
IF(B172="Camera",
"Sony",
IF(B172="Printer",
"HP",
IF(B172="External Hard Disk",
"Western Digital",
"Other")))))))))</f>
        <v>Sony</v>
      </c>
      <c r="E172" t="str">
        <f t="shared" si="9"/>
        <v>Supertron Electronics</v>
      </c>
      <c r="F172">
        <f t="shared" si="10"/>
        <v>60000</v>
      </c>
      <c r="G172">
        <f t="shared" si="11"/>
        <v>66000</v>
      </c>
    </row>
    <row r="173" spans="1:7" x14ac:dyDescent="0.25">
      <c r="A173" t="s">
        <v>172</v>
      </c>
      <c r="B173" t="s">
        <v>1002</v>
      </c>
      <c r="C173" t="str">
        <f t="shared" si="8"/>
        <v>Electronics (Computing Devices)</v>
      </c>
      <c r="D173" t="str">
        <f>IF(B173="Smartphone",D174,
IF(B173="Smartwatch",
"Apple",
IF(B173="Laptop",
" Apple",
IF(B173="Desktop PC",
"Lenovo",
IF(B173="Tablet",
"Samsung",
IF(B173="Headphone",
"Sony",
IF(B173="Camera",
"Sony",
IF(B173="Printer",
"HP",
IF(B173="External Hard Disk",
"Western Digital",
"Other")))))))))</f>
        <v>Lenovo</v>
      </c>
      <c r="E173" t="str">
        <f t="shared" si="9"/>
        <v>Savex Technologies</v>
      </c>
      <c r="F173">
        <f t="shared" si="10"/>
        <v>45000</v>
      </c>
      <c r="G173">
        <f t="shared" si="11"/>
        <v>49500.000000000007</v>
      </c>
    </row>
    <row r="174" spans="1:7" x14ac:dyDescent="0.25">
      <c r="A174" t="s">
        <v>173</v>
      </c>
      <c r="B174" t="s">
        <v>1005</v>
      </c>
      <c r="C174" t="str">
        <f t="shared" si="8"/>
        <v>Electronics (Computing Devices)</v>
      </c>
      <c r="D174" t="str">
        <f>IF(B174="Smartphone",D175,
IF(B174="Smartwatch",
"Apple",
IF(B174="Laptop",
" Apple",
IF(B174="Desktop PC",
"Lenovo",
IF(B174="Tablet",
"Samsung",
IF(B174="Headphone",
"Sony",
IF(B174="Camera",
"Sony",
IF(B174="Printer",
"HP",
IF(B174="External Hard Disk",
"Western Digital",
"Other")))))))))</f>
        <v>Samsung</v>
      </c>
      <c r="E174" t="str">
        <f t="shared" si="9"/>
        <v>Rashi Peripherals</v>
      </c>
      <c r="F174">
        <f t="shared" si="10"/>
        <v>30000</v>
      </c>
      <c r="G174">
        <f t="shared" si="11"/>
        <v>33000</v>
      </c>
    </row>
    <row r="175" spans="1:7" x14ac:dyDescent="0.25">
      <c r="A175" t="s">
        <v>174</v>
      </c>
      <c r="B175" t="s">
        <v>1012</v>
      </c>
      <c r="C175" t="str">
        <f t="shared" si="8"/>
        <v>Audio Devices</v>
      </c>
      <c r="D175" t="str">
        <f>IF(B175="Smartphone",D176,
IF(B175="Smartwatch",
"Apple",
IF(B175="Laptop",
" Apple",
IF(B175="Desktop PC",
"Lenovo",
IF(B175="Tablet",
"Samsung",
IF(B175="Headphone",
"Sony",
IF(B175="Camera",
"Sony",
IF(B175="Printer",
"HP",
IF(B175="External Hard Disk",
"Western Digital",
"Other")))))))))</f>
        <v>Sony</v>
      </c>
      <c r="E175" t="str">
        <f t="shared" si="9"/>
        <v>Supertron Electronics</v>
      </c>
      <c r="F175">
        <f t="shared" si="10"/>
        <v>60000</v>
      </c>
      <c r="G175">
        <f t="shared" si="11"/>
        <v>66000</v>
      </c>
    </row>
    <row r="176" spans="1:7" x14ac:dyDescent="0.25">
      <c r="A176" t="s">
        <v>175</v>
      </c>
      <c r="B176" t="s">
        <v>1013</v>
      </c>
      <c r="C176" t="str">
        <f t="shared" si="8"/>
        <v>Storage Devices</v>
      </c>
      <c r="D176" t="str">
        <f>IF(B176="Smartphone",D177,
IF(B176="Smartwatch",
"Apple",
IF(B176="Laptop",
" Apple",
IF(B176="Desktop PC",
"Lenovo",
IF(B176="Tablet",
"Samsung",
IF(B176="Headphone",
"Sony",
IF(B176="Camera",
"Sony",
IF(B176="Printer",
"HP",
IF(B176="External Hard Disk",
"Western Digital",
"Other")))))))))</f>
        <v>Western Digital</v>
      </c>
      <c r="E176" t="str">
        <f t="shared" si="9"/>
        <v>Ingram Micron India</v>
      </c>
      <c r="F176">
        <f t="shared" si="10"/>
        <v>35000</v>
      </c>
      <c r="G176">
        <f t="shared" si="11"/>
        <v>38500</v>
      </c>
    </row>
    <row r="177" spans="1:7" x14ac:dyDescent="0.25">
      <c r="A177" t="s">
        <v>176</v>
      </c>
      <c r="B177" t="s">
        <v>1009</v>
      </c>
      <c r="C177" t="str">
        <f t="shared" si="8"/>
        <v>Office Equipments</v>
      </c>
      <c r="D177" t="str">
        <f>IF(B177="Smartphone",D178,
IF(B177="Smartwatch",
"Apple",
IF(B177="Laptop",
" Apple",
IF(B177="Desktop PC",
"Lenovo",
IF(B177="Tablet",
"Samsung",
IF(B177="Headphone",
"Sony",
IF(B177="Camera",
"Sony",
IF(B177="Printer",
"HP",
IF(B177="External Hard Disk",
"Western Digital",
"Other")))))))))</f>
        <v>HP</v>
      </c>
      <c r="E177" t="str">
        <f t="shared" si="9"/>
        <v>Savex Technologies</v>
      </c>
      <c r="F177">
        <f t="shared" si="10"/>
        <v>40000</v>
      </c>
      <c r="G177">
        <f t="shared" si="11"/>
        <v>44000</v>
      </c>
    </row>
    <row r="178" spans="1:7" x14ac:dyDescent="0.25">
      <c r="A178" t="s">
        <v>177</v>
      </c>
      <c r="B178" t="s">
        <v>1005</v>
      </c>
      <c r="C178" t="str">
        <f t="shared" si="8"/>
        <v>Electronics (Computing Devices)</v>
      </c>
      <c r="D178" t="str">
        <f>IF(B178="Smartphone",D179,
IF(B178="Smartwatch",
"Apple",
IF(B178="Laptop",
" Apple",
IF(B178="Desktop PC",
"Lenovo",
IF(B178="Tablet",
"Samsung",
IF(B178="Headphone",
"Sony",
IF(B178="Camera",
"Sony",
IF(B178="Printer",
"HP",
IF(B178="External Hard Disk",
"Western Digital",
"Other")))))))))</f>
        <v>Samsung</v>
      </c>
      <c r="E178" t="str">
        <f t="shared" si="9"/>
        <v>Rashi Peripherals</v>
      </c>
      <c r="F178">
        <f t="shared" si="10"/>
        <v>30000</v>
      </c>
      <c r="G178">
        <f t="shared" si="11"/>
        <v>33000</v>
      </c>
    </row>
    <row r="179" spans="1:7" x14ac:dyDescent="0.25">
      <c r="A179" t="s">
        <v>178</v>
      </c>
      <c r="B179" t="s">
        <v>1013</v>
      </c>
      <c r="C179" t="str">
        <f t="shared" si="8"/>
        <v>Storage Devices</v>
      </c>
      <c r="D179" t="str">
        <f>IF(B179="Smartphone",D180,
IF(B179="Smartwatch",
"Apple",
IF(B179="Laptop",
" Apple",
IF(B179="Desktop PC",
"Lenovo",
IF(B179="Tablet",
"Samsung",
IF(B179="Headphone",
"Sony",
IF(B179="Camera",
"Sony",
IF(B179="Printer",
"HP",
IF(B179="External Hard Disk",
"Western Digital",
"Other")))))))))</f>
        <v>Western Digital</v>
      </c>
      <c r="E179" t="str">
        <f t="shared" si="9"/>
        <v>Ingram Micron India</v>
      </c>
      <c r="F179">
        <f t="shared" si="10"/>
        <v>35000</v>
      </c>
      <c r="G179">
        <f t="shared" si="11"/>
        <v>38500</v>
      </c>
    </row>
    <row r="180" spans="1:7" x14ac:dyDescent="0.25">
      <c r="A180" t="s">
        <v>179</v>
      </c>
      <c r="B180" t="s">
        <v>1002</v>
      </c>
      <c r="C180" t="str">
        <f t="shared" si="8"/>
        <v>Electronics (Computing Devices)</v>
      </c>
      <c r="D180" t="str">
        <f>IF(B180="Smartphone",D181,
IF(B180="Smartwatch",
"Apple",
IF(B180="Laptop",
" Apple",
IF(B180="Desktop PC",
"Lenovo",
IF(B180="Tablet",
"Samsung",
IF(B180="Headphone",
"Sony",
IF(B180="Camera",
"Sony",
IF(B180="Printer",
"HP",
IF(B180="External Hard Disk",
"Western Digital",
"Other")))))))))</f>
        <v>Lenovo</v>
      </c>
      <c r="E180" t="str">
        <f t="shared" si="9"/>
        <v>Savex Technologies</v>
      </c>
      <c r="F180">
        <f t="shared" si="10"/>
        <v>45000</v>
      </c>
      <c r="G180">
        <f t="shared" si="11"/>
        <v>49500.000000000007</v>
      </c>
    </row>
    <row r="181" spans="1:7" x14ac:dyDescent="0.25">
      <c r="A181" t="s">
        <v>180</v>
      </c>
      <c r="B181" t="s">
        <v>1009</v>
      </c>
      <c r="C181" t="str">
        <f t="shared" si="8"/>
        <v>Office Equipments</v>
      </c>
      <c r="D181" t="str">
        <f>IF(B181="Smartphone",D182,
IF(B181="Smartwatch",
"Apple",
IF(B181="Laptop",
" Apple",
IF(B181="Desktop PC",
"Lenovo",
IF(B181="Tablet",
"Samsung",
IF(B181="Headphone",
"Sony",
IF(B181="Camera",
"Sony",
IF(B181="Printer",
"HP",
IF(B181="External Hard Disk",
"Western Digital",
"Other")))))))))</f>
        <v>HP</v>
      </c>
      <c r="E181" t="str">
        <f t="shared" si="9"/>
        <v>Savex Technologies</v>
      </c>
      <c r="F181">
        <f t="shared" si="10"/>
        <v>40000</v>
      </c>
      <c r="G181">
        <f t="shared" si="11"/>
        <v>44000</v>
      </c>
    </row>
    <row r="182" spans="1:7" x14ac:dyDescent="0.25">
      <c r="A182" t="s">
        <v>181</v>
      </c>
      <c r="B182" t="s">
        <v>1009</v>
      </c>
      <c r="C182" t="str">
        <f t="shared" si="8"/>
        <v>Office Equipments</v>
      </c>
      <c r="D182" t="str">
        <f>IF(B182="Smartphone",D183,
IF(B182="Smartwatch",
"Apple",
IF(B182="Laptop",
" Apple",
IF(B182="Desktop PC",
"Lenovo",
IF(B182="Tablet",
"Samsung",
IF(B182="Headphone",
"Sony",
IF(B182="Camera",
"Sony",
IF(B182="Printer",
"HP",
IF(B182="External Hard Disk",
"Western Digital",
"Other")))))))))</f>
        <v>HP</v>
      </c>
      <c r="E182" t="str">
        <f t="shared" si="9"/>
        <v>Savex Technologies</v>
      </c>
      <c r="F182">
        <f t="shared" si="10"/>
        <v>40000</v>
      </c>
      <c r="G182">
        <f t="shared" si="11"/>
        <v>44000</v>
      </c>
    </row>
    <row r="183" spans="1:7" x14ac:dyDescent="0.25">
      <c r="A183" t="s">
        <v>182</v>
      </c>
      <c r="B183" t="s">
        <v>1007</v>
      </c>
      <c r="C183" t="str">
        <f t="shared" si="8"/>
        <v>Mobile and Wearables</v>
      </c>
      <c r="D183" t="str">
        <f>IF(B183="Smartphone",D184,
IF(B183="Smartwatch",
"Apple",
IF(B183="Laptop",
" Apple",
IF(B183="Desktop PC",
"Lenovo",
IF(B183="Tablet",
"Samsung",
IF(B183="Headphone",
"Sony",
IF(B183="Camera",
"Sony",
IF(B183="Printer",
"HP",
IF(B183="External Hard Disk",
"Western Digital",
"Other")))))))))</f>
        <v>Lenovo</v>
      </c>
      <c r="E183" t="str">
        <f t="shared" si="9"/>
        <v>Savex Technologies</v>
      </c>
      <c r="F183">
        <f t="shared" si="10"/>
        <v>45000</v>
      </c>
      <c r="G183">
        <f t="shared" si="11"/>
        <v>49500.000000000007</v>
      </c>
    </row>
    <row r="184" spans="1:7" x14ac:dyDescent="0.25">
      <c r="A184" t="s">
        <v>183</v>
      </c>
      <c r="B184" t="s">
        <v>1002</v>
      </c>
      <c r="C184" t="str">
        <f t="shared" si="8"/>
        <v>Electronics (Computing Devices)</v>
      </c>
      <c r="D184" t="str">
        <f>IF(B184="Smartphone",D185,
IF(B184="Smartwatch",
"Apple",
IF(B184="Laptop",
" Apple",
IF(B184="Desktop PC",
"Lenovo",
IF(B184="Tablet",
"Samsung",
IF(B184="Headphone",
"Sony",
IF(B184="Camera",
"Sony",
IF(B184="Printer",
"HP",
IF(B184="External Hard Disk",
"Western Digital",
"Other")))))))))</f>
        <v>Lenovo</v>
      </c>
      <c r="E184" t="str">
        <f t="shared" si="9"/>
        <v>Savex Technologies</v>
      </c>
      <c r="F184">
        <f t="shared" si="10"/>
        <v>45000</v>
      </c>
      <c r="G184">
        <f t="shared" si="11"/>
        <v>49500.000000000007</v>
      </c>
    </row>
    <row r="185" spans="1:7" x14ac:dyDescent="0.25">
      <c r="A185" t="s">
        <v>184</v>
      </c>
      <c r="B185" t="s">
        <v>1007</v>
      </c>
      <c r="C185" t="str">
        <f t="shared" si="8"/>
        <v>Mobile and Wearables</v>
      </c>
      <c r="D185" t="str">
        <f>IF(B185="Smartphone",D186,
IF(B185="Smartwatch",
"Apple",
IF(B185="Laptop",
" Apple",
IF(B185="Desktop PC",
"Lenovo",
IF(B185="Tablet",
"Samsung",
IF(B185="Headphone",
"Sony",
IF(B185="Camera",
"Sony",
IF(B185="Printer",
"HP",
IF(B185="External Hard Disk",
"Western Digital",
"Other")))))))))</f>
        <v xml:space="preserve"> Apple</v>
      </c>
      <c r="E185" t="str">
        <f t="shared" si="9"/>
        <v>Ingram Micron India</v>
      </c>
      <c r="F185">
        <f t="shared" si="10"/>
        <v>35000</v>
      </c>
      <c r="G185">
        <f t="shared" si="11"/>
        <v>38500</v>
      </c>
    </row>
    <row r="186" spans="1:7" x14ac:dyDescent="0.25">
      <c r="A186" t="s">
        <v>185</v>
      </c>
      <c r="B186" t="s">
        <v>1004</v>
      </c>
      <c r="C186" t="str">
        <f t="shared" si="8"/>
        <v>Electronics (Computing Devices)</v>
      </c>
      <c r="D186" t="str">
        <f>IF(B186="Smartphone",D187,
IF(B186="Smartwatch",
"Apple",
IF(B186="Laptop",
" Apple",
IF(B186="Desktop PC",
"Lenovo",
IF(B186="Tablet",
"Samsung",
IF(B186="Headphone",
"Sony",
IF(B186="Camera",
"Sony",
IF(B186="Printer",
"HP",
IF(B186="External Hard Disk",
"Western Digital",
"Other")))))))))</f>
        <v xml:space="preserve"> Apple</v>
      </c>
      <c r="E186" t="str">
        <f t="shared" si="9"/>
        <v>Ingram Micron India</v>
      </c>
      <c r="F186">
        <f t="shared" si="10"/>
        <v>35000</v>
      </c>
      <c r="G186">
        <f t="shared" si="11"/>
        <v>38500</v>
      </c>
    </row>
    <row r="187" spans="1:7" x14ac:dyDescent="0.25">
      <c r="A187" t="s">
        <v>186</v>
      </c>
      <c r="B187" t="s">
        <v>1003</v>
      </c>
      <c r="C187" t="str">
        <f t="shared" si="8"/>
        <v>Electronics (Computing Devices)</v>
      </c>
      <c r="D187" t="str">
        <f>IF(B187="Smartphone",D188,
IF(B187="Smartwatch",
"Apple",
IF(B187="Laptop",
" Apple",
IF(B187="Desktop PC",
"Lenovo",
IF(B187="Tablet",
"Samsung",
IF(B187="Headphone",
"Sony",
IF(B187="Camera",
"Sony",
IF(B187="Printer",
"HP",
IF(B187="External Hard Disk",
"Western Digital",
"Other")))))))))</f>
        <v>Other</v>
      </c>
      <c r="E187" t="str">
        <f t="shared" si="9"/>
        <v>Ingram Micron India</v>
      </c>
      <c r="F187">
        <f t="shared" si="10"/>
        <v>35000</v>
      </c>
      <c r="G187">
        <f t="shared" si="11"/>
        <v>38500</v>
      </c>
    </row>
    <row r="188" spans="1:7" x14ac:dyDescent="0.25">
      <c r="A188" t="s">
        <v>187</v>
      </c>
      <c r="B188" t="s">
        <v>1005</v>
      </c>
      <c r="C188" t="str">
        <f t="shared" si="8"/>
        <v>Electronics (Computing Devices)</v>
      </c>
      <c r="D188" t="str">
        <f>IF(B188="Smartphone",D189,
IF(B188="Smartwatch",
"Apple",
IF(B188="Laptop",
" Apple",
IF(B188="Desktop PC",
"Lenovo",
IF(B188="Tablet",
"Samsung",
IF(B188="Headphone",
"Sony",
IF(B188="Camera",
"Sony",
IF(B188="Printer",
"HP",
IF(B188="External Hard Disk",
"Western Digital",
"Other")))))))))</f>
        <v>Samsung</v>
      </c>
      <c r="E188" t="str">
        <f t="shared" si="9"/>
        <v>Rashi Peripherals</v>
      </c>
      <c r="F188">
        <f t="shared" si="10"/>
        <v>30000</v>
      </c>
      <c r="G188">
        <f t="shared" si="11"/>
        <v>33000</v>
      </c>
    </row>
    <row r="189" spans="1:7" x14ac:dyDescent="0.25">
      <c r="A189" t="s">
        <v>188</v>
      </c>
      <c r="B189" t="s">
        <v>1004</v>
      </c>
      <c r="C189" t="str">
        <f t="shared" si="8"/>
        <v>Electronics (Computing Devices)</v>
      </c>
      <c r="D189" t="str">
        <f>IF(B189="Smartphone",D190,
IF(B189="Smartwatch",
"Apple",
IF(B189="Laptop",
" Apple",
IF(B189="Desktop PC",
"Lenovo",
IF(B189="Tablet",
"Samsung",
IF(B189="Headphone",
"Sony",
IF(B189="Camera",
"Sony",
IF(B189="Printer",
"HP",
IF(B189="External Hard Disk",
"Western Digital",
"Other")))))))))</f>
        <v xml:space="preserve"> Apple</v>
      </c>
      <c r="E189" t="str">
        <f t="shared" si="9"/>
        <v>Ingram Micron India</v>
      </c>
      <c r="F189">
        <f t="shared" si="10"/>
        <v>35000</v>
      </c>
      <c r="G189">
        <f t="shared" si="11"/>
        <v>38500</v>
      </c>
    </row>
    <row r="190" spans="1:7" x14ac:dyDescent="0.25">
      <c r="A190" t="s">
        <v>189</v>
      </c>
      <c r="B190" t="s">
        <v>1005</v>
      </c>
      <c r="C190" t="str">
        <f t="shared" si="8"/>
        <v>Electronics (Computing Devices)</v>
      </c>
      <c r="D190" t="str">
        <f>IF(B190="Smartphone",D191,
IF(B190="Smartwatch",
"Apple",
IF(B190="Laptop",
" Apple",
IF(B190="Desktop PC",
"Lenovo",
IF(B190="Tablet",
"Samsung",
IF(B190="Headphone",
"Sony",
IF(B190="Camera",
"Sony",
IF(B190="Printer",
"HP",
IF(B190="External Hard Disk",
"Western Digital",
"Other")))))))))</f>
        <v>Samsung</v>
      </c>
      <c r="E190" t="str">
        <f t="shared" si="9"/>
        <v>Rashi Peripherals</v>
      </c>
      <c r="F190">
        <f t="shared" si="10"/>
        <v>30000</v>
      </c>
      <c r="G190">
        <f t="shared" si="11"/>
        <v>33000</v>
      </c>
    </row>
    <row r="191" spans="1:7" x14ac:dyDescent="0.25">
      <c r="A191" t="s">
        <v>190</v>
      </c>
      <c r="B191" t="s">
        <v>1009</v>
      </c>
      <c r="C191" t="str">
        <f t="shared" si="8"/>
        <v>Office Equipments</v>
      </c>
      <c r="D191" t="str">
        <f>IF(B191="Smartphone",D192,
IF(B191="Smartwatch",
"Apple",
IF(B191="Laptop",
" Apple",
IF(B191="Desktop PC",
"Lenovo",
IF(B191="Tablet",
"Samsung",
IF(B191="Headphone",
"Sony",
IF(B191="Camera",
"Sony",
IF(B191="Printer",
"HP",
IF(B191="External Hard Disk",
"Western Digital",
"Other")))))))))</f>
        <v>HP</v>
      </c>
      <c r="E191" t="str">
        <f t="shared" si="9"/>
        <v>Savex Technologies</v>
      </c>
      <c r="F191">
        <f t="shared" si="10"/>
        <v>40000</v>
      </c>
      <c r="G191">
        <f t="shared" si="11"/>
        <v>44000</v>
      </c>
    </row>
    <row r="192" spans="1:7" x14ac:dyDescent="0.25">
      <c r="A192" t="s">
        <v>191</v>
      </c>
      <c r="B192" t="s">
        <v>1013</v>
      </c>
      <c r="C192" t="str">
        <f t="shared" si="8"/>
        <v>Storage Devices</v>
      </c>
      <c r="D192" t="str">
        <f>IF(B192="Smartphone",D193,
IF(B192="Smartwatch",
"Apple",
IF(B192="Laptop",
" Apple",
IF(B192="Desktop PC",
"Lenovo",
IF(B192="Tablet",
"Samsung",
IF(B192="Headphone",
"Sony",
IF(B192="Camera",
"Sony",
IF(B192="Printer",
"HP",
IF(B192="External Hard Disk",
"Western Digital",
"Other")))))))))</f>
        <v>Western Digital</v>
      </c>
      <c r="E192" t="str">
        <f t="shared" si="9"/>
        <v>Ingram Micron India</v>
      </c>
      <c r="F192">
        <f t="shared" si="10"/>
        <v>35000</v>
      </c>
      <c r="G192">
        <f t="shared" si="11"/>
        <v>38500</v>
      </c>
    </row>
    <row r="193" spans="1:7" x14ac:dyDescent="0.25">
      <c r="A193" t="s">
        <v>192</v>
      </c>
      <c r="B193" t="s">
        <v>1009</v>
      </c>
      <c r="C193" t="str">
        <f t="shared" si="8"/>
        <v>Office Equipments</v>
      </c>
      <c r="D193" t="str">
        <f>IF(B193="Smartphone",D194,
IF(B193="Smartwatch",
"Apple",
IF(B193="Laptop",
" Apple",
IF(B193="Desktop PC",
"Lenovo",
IF(B193="Tablet",
"Samsung",
IF(B193="Headphone",
"Sony",
IF(B193="Camera",
"Sony",
IF(B193="Printer",
"HP",
IF(B193="External Hard Disk",
"Western Digital",
"Other")))))))))</f>
        <v>HP</v>
      </c>
      <c r="E193" t="str">
        <f t="shared" si="9"/>
        <v>Savex Technologies</v>
      </c>
      <c r="F193">
        <f t="shared" si="10"/>
        <v>40000</v>
      </c>
      <c r="G193">
        <f t="shared" si="11"/>
        <v>44000</v>
      </c>
    </row>
    <row r="194" spans="1:7" x14ac:dyDescent="0.25">
      <c r="A194" t="s">
        <v>193</v>
      </c>
      <c r="B194" t="s">
        <v>1009</v>
      </c>
      <c r="C194" t="str">
        <f t="shared" si="8"/>
        <v>Office Equipments</v>
      </c>
      <c r="D194" t="str">
        <f>IF(B194="Smartphone",D195,
IF(B194="Smartwatch",
"Apple",
IF(B194="Laptop",
" Apple",
IF(B194="Desktop PC",
"Lenovo",
IF(B194="Tablet",
"Samsung",
IF(B194="Headphone",
"Sony",
IF(B194="Camera",
"Sony",
IF(B194="Printer",
"HP",
IF(B194="External Hard Disk",
"Western Digital",
"Other")))))))))</f>
        <v>HP</v>
      </c>
      <c r="E194" t="str">
        <f t="shared" si="9"/>
        <v>Savex Technologies</v>
      </c>
      <c r="F194">
        <f t="shared" si="10"/>
        <v>40000</v>
      </c>
      <c r="G194">
        <f t="shared" si="11"/>
        <v>44000</v>
      </c>
    </row>
    <row r="195" spans="1:7" x14ac:dyDescent="0.25">
      <c r="A195" t="s">
        <v>194</v>
      </c>
      <c r="B195" t="s">
        <v>1002</v>
      </c>
      <c r="C195" t="str">
        <f t="shared" ref="C195:C258" si="12">IF(OR(B195="Laptop",B195="Desktop PC",B195="Tablet",B195="E-Reader"),
"Electronics (Computing Devices)",
IF(OR(B195="Smartphone",B195="Smartwatch"),
"Mobile and Wearables",
IF(B195="Headphone",
"Audio Devices",
IF(OR(B195="Printer",B195="Camera"),
"Office Equipments",
IF(B195="External Hard Disk",
"Storage Devices",
"Other")))))</f>
        <v>Electronics (Computing Devices)</v>
      </c>
      <c r="D195" t="str">
        <f>IF(B195="Smartphone",D196,
IF(B195="Smartwatch",
"Apple",
IF(B195="Laptop",
" Apple",
IF(B195="Desktop PC",
"Lenovo",
IF(B195="Tablet",
"Samsung",
IF(B195="Headphone",
"Sony",
IF(B195="Camera",
"Sony",
IF(B195="Printer",
"HP",
IF(B195="External Hard Disk",
"Western Digital",
"Other")))))))))</f>
        <v>Lenovo</v>
      </c>
      <c r="E195" t="str">
        <f t="shared" ref="E195:E258" si="13">IF(D195="Apple",
"Redington India",
IF(D195="Samsung",
"Rashi Peripherals",
IF(D195="Sony",
"Supertron Electronics",
IF(OR(D195="Lenovo",D195="HP",D195="Dell"),
"Savex Technologies",
IF(C195="Printer",
"Rashi Peripherals",
IF(C195="Camera",
"Redington India",
IF(C195="External Hard Disk",
"Supertron Electronics",
"Ingram Micron India")))))))</f>
        <v>Savex Technologies</v>
      </c>
      <c r="F195">
        <f t="shared" ref="F195:F258" si="14">IF(D195="Apple",
IF(C195="Smartphone",95000,
IF(C195="Tablet",75000,
IF(C195="Laptop",150000,
IF(C195="Smartwatch",90000,40000)))),
IF(D195="Samsung",
IF(C195="Smartphone",55000,
IF(C195="Tablet",40000,
IF(C195="Smartwatch",25000,30000))),
IF(D195="Lenovo",
IF(C195="Laptop",85000,
IF(C195="Desktop PC",70000,45000)),
IF(D195="HP",
IF(C195="Printer",30000,
IF(C195="Laptop",80000,40000)),
IF(D195="Sony",
IF(C195="Headphone",15000,
IF(C195="Camera",120000,60000)),
IF(C195="External Hard Disk",
IF(D195="Seagate",7000,
IF(D195="Western Digital",8000,7500)),
35000))))))</f>
        <v>45000</v>
      </c>
      <c r="G195">
        <f t="shared" ref="G195:G258" si="15">IF(C195="Smartphone",F195*1.1,
IF(C195="Laptop",F195*1.08,
IF(C195="Tablet",F195*1.12,
IF(C195="Smartwatch",F195*1.15,
IF(C195="Desktop PC",F195*1.07,
IF(C195="Printer",F195*1.18,
IF(C195="Camera",F195*1.12,
IF(C195="Headphone",F195*1.25,
IF(C195="External Hard Disk",F195*1.2,
F195*1.1)))))))))</f>
        <v>49500.000000000007</v>
      </c>
    </row>
    <row r="196" spans="1:7" x14ac:dyDescent="0.25">
      <c r="A196" t="s">
        <v>195</v>
      </c>
      <c r="B196" t="s">
        <v>1005</v>
      </c>
      <c r="C196" t="str">
        <f t="shared" si="12"/>
        <v>Electronics (Computing Devices)</v>
      </c>
      <c r="D196" t="str">
        <f>IF(B196="Smartphone",D197,
IF(B196="Smartwatch",
"Apple",
IF(B196="Laptop",
" Apple",
IF(B196="Desktop PC",
"Lenovo",
IF(B196="Tablet",
"Samsung",
IF(B196="Headphone",
"Sony",
IF(B196="Camera",
"Sony",
IF(B196="Printer",
"HP",
IF(B196="External Hard Disk",
"Western Digital",
"Other")))))))))</f>
        <v>Samsung</v>
      </c>
      <c r="E196" t="str">
        <f t="shared" si="13"/>
        <v>Rashi Peripherals</v>
      </c>
      <c r="F196">
        <f t="shared" si="14"/>
        <v>30000</v>
      </c>
      <c r="G196">
        <f t="shared" si="15"/>
        <v>33000</v>
      </c>
    </row>
    <row r="197" spans="1:7" x14ac:dyDescent="0.25">
      <c r="A197" t="s">
        <v>196</v>
      </c>
      <c r="B197" t="s">
        <v>1010</v>
      </c>
      <c r="C197" t="str">
        <f t="shared" si="12"/>
        <v>Office Equipments</v>
      </c>
      <c r="D197" t="str">
        <f>IF(B197="Smartphone",D198,
IF(B197="Smartwatch",
"Apple",
IF(B197="Laptop",
" Apple",
IF(B197="Desktop PC",
"Lenovo",
IF(B197="Tablet",
"Samsung",
IF(B197="Headphone",
"Sony",
IF(B197="Camera",
"Sony",
IF(B197="Printer",
"HP",
IF(B197="External Hard Disk",
"Western Digital",
"Other")))))))))</f>
        <v>Sony</v>
      </c>
      <c r="E197" t="str">
        <f t="shared" si="13"/>
        <v>Supertron Electronics</v>
      </c>
      <c r="F197">
        <f t="shared" si="14"/>
        <v>60000</v>
      </c>
      <c r="G197">
        <f t="shared" si="15"/>
        <v>66000</v>
      </c>
    </row>
    <row r="198" spans="1:7" x14ac:dyDescent="0.25">
      <c r="A198" t="s">
        <v>197</v>
      </c>
      <c r="B198" t="s">
        <v>1002</v>
      </c>
      <c r="C198" t="str">
        <f t="shared" si="12"/>
        <v>Electronics (Computing Devices)</v>
      </c>
      <c r="D198" t="str">
        <f>IF(B198="Smartphone",D199,
IF(B198="Smartwatch",
"Apple",
IF(B198="Laptop",
" Apple",
IF(B198="Desktop PC",
"Lenovo",
IF(B198="Tablet",
"Samsung",
IF(B198="Headphone",
"Sony",
IF(B198="Camera",
"Sony",
IF(B198="Printer",
"HP",
IF(B198="External Hard Disk",
"Western Digital",
"Other")))))))))</f>
        <v>Lenovo</v>
      </c>
      <c r="E198" t="str">
        <f t="shared" si="13"/>
        <v>Savex Technologies</v>
      </c>
      <c r="F198">
        <f t="shared" si="14"/>
        <v>45000</v>
      </c>
      <c r="G198">
        <f t="shared" si="15"/>
        <v>49500.000000000007</v>
      </c>
    </row>
    <row r="199" spans="1:7" x14ac:dyDescent="0.25">
      <c r="A199" t="s">
        <v>198</v>
      </c>
      <c r="B199" t="s">
        <v>1005</v>
      </c>
      <c r="C199" t="str">
        <f t="shared" si="12"/>
        <v>Electronics (Computing Devices)</v>
      </c>
      <c r="D199" t="str">
        <f>IF(B199="Smartphone",D200,
IF(B199="Smartwatch",
"Apple",
IF(B199="Laptop",
" Apple",
IF(B199="Desktop PC",
"Lenovo",
IF(B199="Tablet",
"Samsung",
IF(B199="Headphone",
"Sony",
IF(B199="Camera",
"Sony",
IF(B199="Printer",
"HP",
IF(B199="External Hard Disk",
"Western Digital",
"Other")))))))))</f>
        <v>Samsung</v>
      </c>
      <c r="E199" t="str">
        <f t="shared" si="13"/>
        <v>Rashi Peripherals</v>
      </c>
      <c r="F199">
        <f t="shared" si="14"/>
        <v>30000</v>
      </c>
      <c r="G199">
        <f t="shared" si="15"/>
        <v>33000</v>
      </c>
    </row>
    <row r="200" spans="1:7" x14ac:dyDescent="0.25">
      <c r="A200" t="s">
        <v>199</v>
      </c>
      <c r="B200" t="s">
        <v>1005</v>
      </c>
      <c r="C200" t="str">
        <f t="shared" si="12"/>
        <v>Electronics (Computing Devices)</v>
      </c>
      <c r="D200" t="str">
        <f>IF(B200="Smartphone",D201,
IF(B200="Smartwatch",
"Apple",
IF(B200="Laptop",
" Apple",
IF(B200="Desktop PC",
"Lenovo",
IF(B200="Tablet",
"Samsung",
IF(B200="Headphone",
"Sony",
IF(B200="Camera",
"Sony",
IF(B200="Printer",
"HP",
IF(B200="External Hard Disk",
"Western Digital",
"Other")))))))))</f>
        <v>Samsung</v>
      </c>
      <c r="E200" t="str">
        <f t="shared" si="13"/>
        <v>Rashi Peripherals</v>
      </c>
      <c r="F200">
        <f t="shared" si="14"/>
        <v>30000</v>
      </c>
      <c r="G200">
        <f t="shared" si="15"/>
        <v>33000</v>
      </c>
    </row>
    <row r="201" spans="1:7" x14ac:dyDescent="0.25">
      <c r="A201" t="s">
        <v>200</v>
      </c>
      <c r="B201" t="s">
        <v>1004</v>
      </c>
      <c r="C201" t="str">
        <f t="shared" si="12"/>
        <v>Electronics (Computing Devices)</v>
      </c>
      <c r="D201" t="str">
        <f>IF(B201="Smartphone",D202,
IF(B201="Smartwatch",
"Apple",
IF(B201="Laptop",
" Apple",
IF(B201="Desktop PC",
"Lenovo",
IF(B201="Tablet",
"Samsung",
IF(B201="Headphone",
"Sony",
IF(B201="Camera",
"Sony",
IF(B201="Printer",
"HP",
IF(B201="External Hard Disk",
"Western Digital",
"Other")))))))))</f>
        <v xml:space="preserve"> Apple</v>
      </c>
      <c r="E201" t="str">
        <f t="shared" si="13"/>
        <v>Ingram Micron India</v>
      </c>
      <c r="F201">
        <f t="shared" si="14"/>
        <v>35000</v>
      </c>
      <c r="G201">
        <f t="shared" si="15"/>
        <v>38500</v>
      </c>
    </row>
    <row r="202" spans="1:7" x14ac:dyDescent="0.25">
      <c r="A202" t="s">
        <v>201</v>
      </c>
      <c r="B202" t="s">
        <v>1010</v>
      </c>
      <c r="C202" t="str">
        <f t="shared" si="12"/>
        <v>Office Equipments</v>
      </c>
      <c r="D202" t="str">
        <f>IF(B202="Smartphone",D203,
IF(B202="Smartwatch",
"Apple",
IF(B202="Laptop",
" Apple",
IF(B202="Desktop PC",
"Lenovo",
IF(B202="Tablet",
"Samsung",
IF(B202="Headphone",
"Sony",
IF(B202="Camera",
"Sony",
IF(B202="Printer",
"HP",
IF(B202="External Hard Disk",
"Western Digital",
"Other")))))))))</f>
        <v>Sony</v>
      </c>
      <c r="E202" t="str">
        <f t="shared" si="13"/>
        <v>Supertron Electronics</v>
      </c>
      <c r="F202">
        <f t="shared" si="14"/>
        <v>60000</v>
      </c>
      <c r="G202">
        <f t="shared" si="15"/>
        <v>66000</v>
      </c>
    </row>
    <row r="203" spans="1:7" x14ac:dyDescent="0.25">
      <c r="A203" t="s">
        <v>202</v>
      </c>
      <c r="B203" t="s">
        <v>1001</v>
      </c>
      <c r="C203" t="str">
        <f t="shared" si="12"/>
        <v>Mobile and Wearables</v>
      </c>
      <c r="D203" t="str">
        <f>IF(B203="Smartphone",D204,
IF(B203="Smartwatch",
"Apple",
IF(B203="Laptop",
" Apple",
IF(B203="Desktop PC",
"Lenovo",
IF(B203="Tablet",
"Samsung",
IF(B203="Headphone",
"Sony",
IF(B203="Camera",
"Sony",
IF(B203="Printer",
"HP",
IF(B203="External Hard Disk",
"Western Digital",
"Other")))))))))</f>
        <v>Apple</v>
      </c>
      <c r="E203" t="str">
        <f t="shared" si="13"/>
        <v>Redington India</v>
      </c>
      <c r="F203">
        <f t="shared" si="14"/>
        <v>40000</v>
      </c>
      <c r="G203">
        <f t="shared" si="15"/>
        <v>44000</v>
      </c>
    </row>
    <row r="204" spans="1:7" x14ac:dyDescent="0.25">
      <c r="A204" t="s">
        <v>203</v>
      </c>
      <c r="B204" t="s">
        <v>1013</v>
      </c>
      <c r="C204" t="str">
        <f t="shared" si="12"/>
        <v>Storage Devices</v>
      </c>
      <c r="D204" t="str">
        <f>IF(B204="Smartphone",D205,
IF(B204="Smartwatch",
"Apple",
IF(B204="Laptop",
" Apple",
IF(B204="Desktop PC",
"Lenovo",
IF(B204="Tablet",
"Samsung",
IF(B204="Headphone",
"Sony",
IF(B204="Camera",
"Sony",
IF(B204="Printer",
"HP",
IF(B204="External Hard Disk",
"Western Digital",
"Other")))))))))</f>
        <v>Western Digital</v>
      </c>
      <c r="E204" t="str">
        <f t="shared" si="13"/>
        <v>Ingram Micron India</v>
      </c>
      <c r="F204">
        <f t="shared" si="14"/>
        <v>35000</v>
      </c>
      <c r="G204">
        <f t="shared" si="15"/>
        <v>38500</v>
      </c>
    </row>
    <row r="205" spans="1:7" x14ac:dyDescent="0.25">
      <c r="A205" t="s">
        <v>204</v>
      </c>
      <c r="B205" t="s">
        <v>1002</v>
      </c>
      <c r="C205" t="str">
        <f t="shared" si="12"/>
        <v>Electronics (Computing Devices)</v>
      </c>
      <c r="D205" t="str">
        <f>IF(B205="Smartphone",D206,
IF(B205="Smartwatch",
"Apple",
IF(B205="Laptop",
" Apple",
IF(B205="Desktop PC",
"Lenovo",
IF(B205="Tablet",
"Samsung",
IF(B205="Headphone",
"Sony",
IF(B205="Camera",
"Sony",
IF(B205="Printer",
"HP",
IF(B205="External Hard Disk",
"Western Digital",
"Other")))))))))</f>
        <v>Lenovo</v>
      </c>
      <c r="E205" t="str">
        <f t="shared" si="13"/>
        <v>Savex Technologies</v>
      </c>
      <c r="F205">
        <f t="shared" si="14"/>
        <v>45000</v>
      </c>
      <c r="G205">
        <f t="shared" si="15"/>
        <v>49500.000000000007</v>
      </c>
    </row>
    <row r="206" spans="1:7" x14ac:dyDescent="0.25">
      <c r="A206" t="s">
        <v>205</v>
      </c>
      <c r="B206" t="s">
        <v>1009</v>
      </c>
      <c r="C206" t="str">
        <f t="shared" si="12"/>
        <v>Office Equipments</v>
      </c>
      <c r="D206" t="str">
        <f>IF(B206="Smartphone",D207,
IF(B206="Smartwatch",
"Apple",
IF(B206="Laptop",
" Apple",
IF(B206="Desktop PC",
"Lenovo",
IF(B206="Tablet",
"Samsung",
IF(B206="Headphone",
"Sony",
IF(B206="Camera",
"Sony",
IF(B206="Printer",
"HP",
IF(B206="External Hard Disk",
"Western Digital",
"Other")))))))))</f>
        <v>HP</v>
      </c>
      <c r="E206" t="str">
        <f t="shared" si="13"/>
        <v>Savex Technologies</v>
      </c>
      <c r="F206">
        <f t="shared" si="14"/>
        <v>40000</v>
      </c>
      <c r="G206">
        <f t="shared" si="15"/>
        <v>44000</v>
      </c>
    </row>
    <row r="207" spans="1:7" x14ac:dyDescent="0.25">
      <c r="A207" t="s">
        <v>206</v>
      </c>
      <c r="B207" t="s">
        <v>1001</v>
      </c>
      <c r="C207" t="str">
        <f t="shared" si="12"/>
        <v>Mobile and Wearables</v>
      </c>
      <c r="D207" t="str">
        <f>IF(B207="Smartphone",D208,
IF(B207="Smartwatch",
"Apple",
IF(B207="Laptop",
" Apple",
IF(B207="Desktop PC",
"Lenovo",
IF(B207="Tablet",
"Samsung",
IF(B207="Headphone",
"Sony",
IF(B207="Camera",
"Sony",
IF(B207="Printer",
"HP",
IF(B207="External Hard Disk",
"Western Digital",
"Other")))))))))</f>
        <v>Apple</v>
      </c>
      <c r="E207" t="str">
        <f t="shared" si="13"/>
        <v>Redington India</v>
      </c>
      <c r="F207">
        <f t="shared" si="14"/>
        <v>40000</v>
      </c>
      <c r="G207">
        <f t="shared" si="15"/>
        <v>44000</v>
      </c>
    </row>
    <row r="208" spans="1:7" x14ac:dyDescent="0.25">
      <c r="A208" t="s">
        <v>207</v>
      </c>
      <c r="B208" t="s">
        <v>1013</v>
      </c>
      <c r="C208" t="str">
        <f t="shared" si="12"/>
        <v>Storage Devices</v>
      </c>
      <c r="D208" t="str">
        <f>IF(B208="Smartphone",D209,
IF(B208="Smartwatch",
"Apple",
IF(B208="Laptop",
" Apple",
IF(B208="Desktop PC",
"Lenovo",
IF(B208="Tablet",
"Samsung",
IF(B208="Headphone",
"Sony",
IF(B208="Camera",
"Sony",
IF(B208="Printer",
"HP",
IF(B208="External Hard Disk",
"Western Digital",
"Other")))))))))</f>
        <v>Western Digital</v>
      </c>
      <c r="E208" t="str">
        <f t="shared" si="13"/>
        <v>Ingram Micron India</v>
      </c>
      <c r="F208">
        <f t="shared" si="14"/>
        <v>35000</v>
      </c>
      <c r="G208">
        <f t="shared" si="15"/>
        <v>38500</v>
      </c>
    </row>
    <row r="209" spans="1:7" x14ac:dyDescent="0.25">
      <c r="A209" t="s">
        <v>208</v>
      </c>
      <c r="B209" t="s">
        <v>1007</v>
      </c>
      <c r="C209" t="str">
        <f t="shared" si="12"/>
        <v>Mobile and Wearables</v>
      </c>
      <c r="D209" t="str">
        <f>IF(B209="Smartphone",D210,
IF(B209="Smartwatch",
"Apple",
IF(B209="Laptop",
" Apple",
IF(B209="Desktop PC",
"Lenovo",
IF(B209="Tablet",
"Samsung",
IF(B209="Headphone",
"Sony",
IF(B209="Camera",
"Sony",
IF(B209="Printer",
"HP",
IF(B209="External Hard Disk",
"Western Digital",
"Other")))))))))</f>
        <v>Other</v>
      </c>
      <c r="E209" t="str">
        <f t="shared" si="13"/>
        <v>Ingram Micron India</v>
      </c>
      <c r="F209">
        <f t="shared" si="14"/>
        <v>35000</v>
      </c>
      <c r="G209">
        <f t="shared" si="15"/>
        <v>38500</v>
      </c>
    </row>
    <row r="210" spans="1:7" x14ac:dyDescent="0.25">
      <c r="A210" t="s">
        <v>209</v>
      </c>
      <c r="B210" t="s">
        <v>1003</v>
      </c>
      <c r="C210" t="str">
        <f t="shared" si="12"/>
        <v>Electronics (Computing Devices)</v>
      </c>
      <c r="D210" t="str">
        <f>IF(B210="Smartphone",D211,
IF(B210="Smartwatch",
"Apple",
IF(B210="Laptop",
" Apple",
IF(B210="Desktop PC",
"Lenovo",
IF(B210="Tablet",
"Samsung",
IF(B210="Headphone",
"Sony",
IF(B210="Camera",
"Sony",
IF(B210="Printer",
"HP",
IF(B210="External Hard Disk",
"Western Digital",
"Other")))))))))</f>
        <v>Other</v>
      </c>
      <c r="E210" t="str">
        <f t="shared" si="13"/>
        <v>Ingram Micron India</v>
      </c>
      <c r="F210">
        <f t="shared" si="14"/>
        <v>35000</v>
      </c>
      <c r="G210">
        <f t="shared" si="15"/>
        <v>38500</v>
      </c>
    </row>
    <row r="211" spans="1:7" x14ac:dyDescent="0.25">
      <c r="A211" t="s">
        <v>210</v>
      </c>
      <c r="B211" t="s">
        <v>1009</v>
      </c>
      <c r="C211" t="str">
        <f t="shared" si="12"/>
        <v>Office Equipments</v>
      </c>
      <c r="D211" t="str">
        <f>IF(B211="Smartphone",D212,
IF(B211="Smartwatch",
"Apple",
IF(B211="Laptop",
" Apple",
IF(B211="Desktop PC",
"Lenovo",
IF(B211="Tablet",
"Samsung",
IF(B211="Headphone",
"Sony",
IF(B211="Camera",
"Sony",
IF(B211="Printer",
"HP",
IF(B211="External Hard Disk",
"Western Digital",
"Other")))))))))</f>
        <v>HP</v>
      </c>
      <c r="E211" t="str">
        <f t="shared" si="13"/>
        <v>Savex Technologies</v>
      </c>
      <c r="F211">
        <f t="shared" si="14"/>
        <v>40000</v>
      </c>
      <c r="G211">
        <f t="shared" si="15"/>
        <v>44000</v>
      </c>
    </row>
    <row r="212" spans="1:7" x14ac:dyDescent="0.25">
      <c r="A212" t="s">
        <v>211</v>
      </c>
      <c r="B212" t="s">
        <v>1002</v>
      </c>
      <c r="C212" t="str">
        <f t="shared" si="12"/>
        <v>Electronics (Computing Devices)</v>
      </c>
      <c r="D212" t="str">
        <f>IF(B212="Smartphone",D213,
IF(B212="Smartwatch",
"Apple",
IF(B212="Laptop",
" Apple",
IF(B212="Desktop PC",
"Lenovo",
IF(B212="Tablet",
"Samsung",
IF(B212="Headphone",
"Sony",
IF(B212="Camera",
"Sony",
IF(B212="Printer",
"HP",
IF(B212="External Hard Disk",
"Western Digital",
"Other")))))))))</f>
        <v>Lenovo</v>
      </c>
      <c r="E212" t="str">
        <f t="shared" si="13"/>
        <v>Savex Technologies</v>
      </c>
      <c r="F212">
        <f t="shared" si="14"/>
        <v>45000</v>
      </c>
      <c r="G212">
        <f t="shared" si="15"/>
        <v>49500.000000000007</v>
      </c>
    </row>
    <row r="213" spans="1:7" x14ac:dyDescent="0.25">
      <c r="A213" t="s">
        <v>212</v>
      </c>
      <c r="B213" t="s">
        <v>1013</v>
      </c>
      <c r="C213" t="str">
        <f t="shared" si="12"/>
        <v>Storage Devices</v>
      </c>
      <c r="D213" t="str">
        <f>IF(B213="Smartphone",D214,
IF(B213="Smartwatch",
"Apple",
IF(B213="Laptop",
" Apple",
IF(B213="Desktop PC",
"Lenovo",
IF(B213="Tablet",
"Samsung",
IF(B213="Headphone",
"Sony",
IF(B213="Camera",
"Sony",
IF(B213="Printer",
"HP",
IF(B213="External Hard Disk",
"Western Digital",
"Other")))))))))</f>
        <v>Western Digital</v>
      </c>
      <c r="E213" t="str">
        <f t="shared" si="13"/>
        <v>Ingram Micron India</v>
      </c>
      <c r="F213">
        <f t="shared" si="14"/>
        <v>35000</v>
      </c>
      <c r="G213">
        <f t="shared" si="15"/>
        <v>38500</v>
      </c>
    </row>
    <row r="214" spans="1:7" x14ac:dyDescent="0.25">
      <c r="A214" t="s">
        <v>213</v>
      </c>
      <c r="B214" t="s">
        <v>1013</v>
      </c>
      <c r="C214" t="str">
        <f t="shared" si="12"/>
        <v>Storage Devices</v>
      </c>
      <c r="D214" t="str">
        <f>IF(B214="Smartphone",D215,
IF(B214="Smartwatch",
"Apple",
IF(B214="Laptop",
" Apple",
IF(B214="Desktop PC",
"Lenovo",
IF(B214="Tablet",
"Samsung",
IF(B214="Headphone",
"Sony",
IF(B214="Camera",
"Sony",
IF(B214="Printer",
"HP",
IF(B214="External Hard Disk",
"Western Digital",
"Other")))))))))</f>
        <v>Western Digital</v>
      </c>
      <c r="E214" t="str">
        <f t="shared" si="13"/>
        <v>Ingram Micron India</v>
      </c>
      <c r="F214">
        <f t="shared" si="14"/>
        <v>35000</v>
      </c>
      <c r="G214">
        <f t="shared" si="15"/>
        <v>38500</v>
      </c>
    </row>
    <row r="215" spans="1:7" x14ac:dyDescent="0.25">
      <c r="A215" t="s">
        <v>214</v>
      </c>
      <c r="B215" t="s">
        <v>1003</v>
      </c>
      <c r="C215" t="str">
        <f t="shared" si="12"/>
        <v>Electronics (Computing Devices)</v>
      </c>
      <c r="D215" t="str">
        <f>IF(B215="Smartphone",D216,
IF(B215="Smartwatch",
"Apple",
IF(B215="Laptop",
" Apple",
IF(B215="Desktop PC",
"Lenovo",
IF(B215="Tablet",
"Samsung",
IF(B215="Headphone",
"Sony",
IF(B215="Camera",
"Sony",
IF(B215="Printer",
"HP",
IF(B215="External Hard Disk",
"Western Digital",
"Other")))))))))</f>
        <v>Other</v>
      </c>
      <c r="E215" t="str">
        <f t="shared" si="13"/>
        <v>Ingram Micron India</v>
      </c>
      <c r="F215">
        <f t="shared" si="14"/>
        <v>35000</v>
      </c>
      <c r="G215">
        <f t="shared" si="15"/>
        <v>38500</v>
      </c>
    </row>
    <row r="216" spans="1:7" x14ac:dyDescent="0.25">
      <c r="A216" t="s">
        <v>215</v>
      </c>
      <c r="B216" t="s">
        <v>1005</v>
      </c>
      <c r="C216" t="str">
        <f t="shared" si="12"/>
        <v>Electronics (Computing Devices)</v>
      </c>
      <c r="D216" t="str">
        <f>IF(B216="Smartphone",D217,
IF(B216="Smartwatch",
"Apple",
IF(B216="Laptop",
" Apple",
IF(B216="Desktop PC",
"Lenovo",
IF(B216="Tablet",
"Samsung",
IF(B216="Headphone",
"Sony",
IF(B216="Camera",
"Sony",
IF(B216="Printer",
"HP",
IF(B216="External Hard Disk",
"Western Digital",
"Other")))))))))</f>
        <v>Samsung</v>
      </c>
      <c r="E216" t="str">
        <f t="shared" si="13"/>
        <v>Rashi Peripherals</v>
      </c>
      <c r="F216">
        <f t="shared" si="14"/>
        <v>30000</v>
      </c>
      <c r="G216">
        <f t="shared" si="15"/>
        <v>33000</v>
      </c>
    </row>
    <row r="217" spans="1:7" x14ac:dyDescent="0.25">
      <c r="A217" t="s">
        <v>216</v>
      </c>
      <c r="B217" t="s">
        <v>1005</v>
      </c>
      <c r="C217" t="str">
        <f t="shared" si="12"/>
        <v>Electronics (Computing Devices)</v>
      </c>
      <c r="D217" t="str">
        <f>IF(B217="Smartphone",D218,
IF(B217="Smartwatch",
"Apple",
IF(B217="Laptop",
" Apple",
IF(B217="Desktop PC",
"Lenovo",
IF(B217="Tablet",
"Samsung",
IF(B217="Headphone",
"Sony",
IF(B217="Camera",
"Sony",
IF(B217="Printer",
"HP",
IF(B217="External Hard Disk",
"Western Digital",
"Other")))))))))</f>
        <v>Samsung</v>
      </c>
      <c r="E217" t="str">
        <f t="shared" si="13"/>
        <v>Rashi Peripherals</v>
      </c>
      <c r="F217">
        <f t="shared" si="14"/>
        <v>30000</v>
      </c>
      <c r="G217">
        <f t="shared" si="15"/>
        <v>33000</v>
      </c>
    </row>
    <row r="218" spans="1:7" x14ac:dyDescent="0.25">
      <c r="A218" t="s">
        <v>217</v>
      </c>
      <c r="B218" t="s">
        <v>1010</v>
      </c>
      <c r="C218" t="str">
        <f t="shared" si="12"/>
        <v>Office Equipments</v>
      </c>
      <c r="D218" t="str">
        <f>IF(B218="Smartphone",D219,
IF(B218="Smartwatch",
"Apple",
IF(B218="Laptop",
" Apple",
IF(B218="Desktop PC",
"Lenovo",
IF(B218="Tablet",
"Samsung",
IF(B218="Headphone",
"Sony",
IF(B218="Camera",
"Sony",
IF(B218="Printer",
"HP",
IF(B218="External Hard Disk",
"Western Digital",
"Other")))))))))</f>
        <v>Sony</v>
      </c>
      <c r="E218" t="str">
        <f t="shared" si="13"/>
        <v>Supertron Electronics</v>
      </c>
      <c r="F218">
        <f t="shared" si="14"/>
        <v>60000</v>
      </c>
      <c r="G218">
        <f t="shared" si="15"/>
        <v>66000</v>
      </c>
    </row>
    <row r="219" spans="1:7" x14ac:dyDescent="0.25">
      <c r="A219" t="s">
        <v>218</v>
      </c>
      <c r="B219" t="s">
        <v>1003</v>
      </c>
      <c r="C219" t="str">
        <f t="shared" si="12"/>
        <v>Electronics (Computing Devices)</v>
      </c>
      <c r="D219" t="str">
        <f>IF(B219="Smartphone",D220,
IF(B219="Smartwatch",
"Apple",
IF(B219="Laptop",
" Apple",
IF(B219="Desktop PC",
"Lenovo",
IF(B219="Tablet",
"Samsung",
IF(B219="Headphone",
"Sony",
IF(B219="Camera",
"Sony",
IF(B219="Printer",
"HP",
IF(B219="External Hard Disk",
"Western Digital",
"Other")))))))))</f>
        <v>Other</v>
      </c>
      <c r="E219" t="str">
        <f t="shared" si="13"/>
        <v>Ingram Micron India</v>
      </c>
      <c r="F219">
        <f t="shared" si="14"/>
        <v>35000</v>
      </c>
      <c r="G219">
        <f t="shared" si="15"/>
        <v>38500</v>
      </c>
    </row>
    <row r="220" spans="1:7" x14ac:dyDescent="0.25">
      <c r="A220" t="s">
        <v>219</v>
      </c>
      <c r="B220" t="s">
        <v>1003</v>
      </c>
      <c r="C220" t="str">
        <f t="shared" si="12"/>
        <v>Electronics (Computing Devices)</v>
      </c>
      <c r="D220" t="str">
        <f>IF(B220="Smartphone",D221,
IF(B220="Smartwatch",
"Apple",
IF(B220="Laptop",
" Apple",
IF(B220="Desktop PC",
"Lenovo",
IF(B220="Tablet",
"Samsung",
IF(B220="Headphone",
"Sony",
IF(B220="Camera",
"Sony",
IF(B220="Printer",
"HP",
IF(B220="External Hard Disk",
"Western Digital",
"Other")))))))))</f>
        <v>Other</v>
      </c>
      <c r="E220" t="str">
        <f t="shared" si="13"/>
        <v>Ingram Micron India</v>
      </c>
      <c r="F220">
        <f t="shared" si="14"/>
        <v>35000</v>
      </c>
      <c r="G220">
        <f t="shared" si="15"/>
        <v>38500</v>
      </c>
    </row>
    <row r="221" spans="1:7" x14ac:dyDescent="0.25">
      <c r="A221" t="s">
        <v>220</v>
      </c>
      <c r="B221" t="s">
        <v>1009</v>
      </c>
      <c r="C221" t="str">
        <f t="shared" si="12"/>
        <v>Office Equipments</v>
      </c>
      <c r="D221" t="str">
        <f>IF(B221="Smartphone",D222,
IF(B221="Smartwatch",
"Apple",
IF(B221="Laptop",
" Apple",
IF(B221="Desktop PC",
"Lenovo",
IF(B221="Tablet",
"Samsung",
IF(B221="Headphone",
"Sony",
IF(B221="Camera",
"Sony",
IF(B221="Printer",
"HP",
IF(B221="External Hard Disk",
"Western Digital",
"Other")))))))))</f>
        <v>HP</v>
      </c>
      <c r="E221" t="str">
        <f t="shared" si="13"/>
        <v>Savex Technologies</v>
      </c>
      <c r="F221">
        <f t="shared" si="14"/>
        <v>40000</v>
      </c>
      <c r="G221">
        <f t="shared" si="15"/>
        <v>44000</v>
      </c>
    </row>
    <row r="222" spans="1:7" x14ac:dyDescent="0.25">
      <c r="A222" t="s">
        <v>221</v>
      </c>
      <c r="B222" t="s">
        <v>1004</v>
      </c>
      <c r="C222" t="str">
        <f t="shared" si="12"/>
        <v>Electronics (Computing Devices)</v>
      </c>
      <c r="D222" t="str">
        <f>IF(B222="Smartphone",D223,
IF(B222="Smartwatch",
"Apple",
IF(B222="Laptop",
" Apple",
IF(B222="Desktop PC",
"Lenovo",
IF(B222="Tablet",
"Samsung",
IF(B222="Headphone",
"Sony",
IF(B222="Camera",
"Sony",
IF(B222="Printer",
"HP",
IF(B222="External Hard Disk",
"Western Digital",
"Other")))))))))</f>
        <v xml:space="preserve"> Apple</v>
      </c>
      <c r="E222" t="str">
        <f t="shared" si="13"/>
        <v>Ingram Micron India</v>
      </c>
      <c r="F222">
        <f t="shared" si="14"/>
        <v>35000</v>
      </c>
      <c r="G222">
        <f t="shared" si="15"/>
        <v>38500</v>
      </c>
    </row>
    <row r="223" spans="1:7" x14ac:dyDescent="0.25">
      <c r="A223" t="s">
        <v>222</v>
      </c>
      <c r="B223" t="s">
        <v>1010</v>
      </c>
      <c r="C223" t="str">
        <f t="shared" si="12"/>
        <v>Office Equipments</v>
      </c>
      <c r="D223" t="str">
        <f>IF(B223="Smartphone",D224,
IF(B223="Smartwatch",
"Apple",
IF(B223="Laptop",
" Apple",
IF(B223="Desktop PC",
"Lenovo",
IF(B223="Tablet",
"Samsung",
IF(B223="Headphone",
"Sony",
IF(B223="Camera",
"Sony",
IF(B223="Printer",
"HP",
IF(B223="External Hard Disk",
"Western Digital",
"Other")))))))))</f>
        <v>Sony</v>
      </c>
      <c r="E223" t="str">
        <f t="shared" si="13"/>
        <v>Supertron Electronics</v>
      </c>
      <c r="F223">
        <f t="shared" si="14"/>
        <v>60000</v>
      </c>
      <c r="G223">
        <f t="shared" si="15"/>
        <v>66000</v>
      </c>
    </row>
    <row r="224" spans="1:7" x14ac:dyDescent="0.25">
      <c r="A224" t="s">
        <v>223</v>
      </c>
      <c r="B224" t="s">
        <v>1003</v>
      </c>
      <c r="C224" t="str">
        <f t="shared" si="12"/>
        <v>Electronics (Computing Devices)</v>
      </c>
      <c r="D224" t="str">
        <f>IF(B224="Smartphone",D225,
IF(B224="Smartwatch",
"Apple",
IF(B224="Laptop",
" Apple",
IF(B224="Desktop PC",
"Lenovo",
IF(B224="Tablet",
"Samsung",
IF(B224="Headphone",
"Sony",
IF(B224="Camera",
"Sony",
IF(B224="Printer",
"HP",
IF(B224="External Hard Disk",
"Western Digital",
"Other")))))))))</f>
        <v>Other</v>
      </c>
      <c r="E224" t="str">
        <f t="shared" si="13"/>
        <v>Ingram Micron India</v>
      </c>
      <c r="F224">
        <f t="shared" si="14"/>
        <v>35000</v>
      </c>
      <c r="G224">
        <f t="shared" si="15"/>
        <v>38500</v>
      </c>
    </row>
    <row r="225" spans="1:7" x14ac:dyDescent="0.25">
      <c r="A225" t="s">
        <v>224</v>
      </c>
      <c r="B225" t="s">
        <v>1009</v>
      </c>
      <c r="C225" t="str">
        <f t="shared" si="12"/>
        <v>Office Equipments</v>
      </c>
      <c r="D225" t="str">
        <f>IF(B225="Smartphone",D226,
IF(B225="Smartwatch",
"Apple",
IF(B225="Laptop",
" Apple",
IF(B225="Desktop PC",
"Lenovo",
IF(B225="Tablet",
"Samsung",
IF(B225="Headphone",
"Sony",
IF(B225="Camera",
"Sony",
IF(B225="Printer",
"HP",
IF(B225="External Hard Disk",
"Western Digital",
"Other")))))))))</f>
        <v>HP</v>
      </c>
      <c r="E225" t="str">
        <f t="shared" si="13"/>
        <v>Savex Technologies</v>
      </c>
      <c r="F225">
        <f t="shared" si="14"/>
        <v>40000</v>
      </c>
      <c r="G225">
        <f t="shared" si="15"/>
        <v>44000</v>
      </c>
    </row>
    <row r="226" spans="1:7" x14ac:dyDescent="0.25">
      <c r="A226" t="s">
        <v>225</v>
      </c>
      <c r="B226" t="s">
        <v>1013</v>
      </c>
      <c r="C226" t="str">
        <f t="shared" si="12"/>
        <v>Storage Devices</v>
      </c>
      <c r="D226" t="str">
        <f>IF(B226="Smartphone",D227,
IF(B226="Smartwatch",
"Apple",
IF(B226="Laptop",
" Apple",
IF(B226="Desktop PC",
"Lenovo",
IF(B226="Tablet",
"Samsung",
IF(B226="Headphone",
"Sony",
IF(B226="Camera",
"Sony",
IF(B226="Printer",
"HP",
IF(B226="External Hard Disk",
"Western Digital",
"Other")))))))))</f>
        <v>Western Digital</v>
      </c>
      <c r="E226" t="str">
        <f t="shared" si="13"/>
        <v>Ingram Micron India</v>
      </c>
      <c r="F226">
        <f t="shared" si="14"/>
        <v>35000</v>
      </c>
      <c r="G226">
        <f t="shared" si="15"/>
        <v>38500</v>
      </c>
    </row>
    <row r="227" spans="1:7" x14ac:dyDescent="0.25">
      <c r="A227" t="s">
        <v>226</v>
      </c>
      <c r="B227" t="s">
        <v>1003</v>
      </c>
      <c r="C227" t="str">
        <f t="shared" si="12"/>
        <v>Electronics (Computing Devices)</v>
      </c>
      <c r="D227" t="str">
        <f>IF(B227="Smartphone",D228,
IF(B227="Smartwatch",
"Apple",
IF(B227="Laptop",
" Apple",
IF(B227="Desktop PC",
"Lenovo",
IF(B227="Tablet",
"Samsung",
IF(B227="Headphone",
"Sony",
IF(B227="Camera",
"Sony",
IF(B227="Printer",
"HP",
IF(B227="External Hard Disk",
"Western Digital",
"Other")))))))))</f>
        <v>Other</v>
      </c>
      <c r="E227" t="str">
        <f t="shared" si="13"/>
        <v>Ingram Micron India</v>
      </c>
      <c r="F227">
        <f t="shared" si="14"/>
        <v>35000</v>
      </c>
      <c r="G227">
        <f t="shared" si="15"/>
        <v>38500</v>
      </c>
    </row>
    <row r="228" spans="1:7" x14ac:dyDescent="0.25">
      <c r="A228" t="s">
        <v>227</v>
      </c>
      <c r="B228" t="s">
        <v>1005</v>
      </c>
      <c r="C228" t="str">
        <f t="shared" si="12"/>
        <v>Electronics (Computing Devices)</v>
      </c>
      <c r="D228" t="str">
        <f>IF(B228="Smartphone",D229,
IF(B228="Smartwatch",
"Apple",
IF(B228="Laptop",
" Apple",
IF(B228="Desktop PC",
"Lenovo",
IF(B228="Tablet",
"Samsung",
IF(B228="Headphone",
"Sony",
IF(B228="Camera",
"Sony",
IF(B228="Printer",
"HP",
IF(B228="External Hard Disk",
"Western Digital",
"Other")))))))))</f>
        <v>Samsung</v>
      </c>
      <c r="E228" t="str">
        <f t="shared" si="13"/>
        <v>Rashi Peripherals</v>
      </c>
      <c r="F228">
        <f t="shared" si="14"/>
        <v>30000</v>
      </c>
      <c r="G228">
        <f t="shared" si="15"/>
        <v>33000</v>
      </c>
    </row>
    <row r="229" spans="1:7" x14ac:dyDescent="0.25">
      <c r="A229" t="s">
        <v>228</v>
      </c>
      <c r="B229" t="s">
        <v>1009</v>
      </c>
      <c r="C229" t="str">
        <f t="shared" si="12"/>
        <v>Office Equipments</v>
      </c>
      <c r="D229" t="str">
        <f>IF(B229="Smartphone",D230,
IF(B229="Smartwatch",
"Apple",
IF(B229="Laptop",
" Apple",
IF(B229="Desktop PC",
"Lenovo",
IF(B229="Tablet",
"Samsung",
IF(B229="Headphone",
"Sony",
IF(B229="Camera",
"Sony",
IF(B229="Printer",
"HP",
IF(B229="External Hard Disk",
"Western Digital",
"Other")))))))))</f>
        <v>HP</v>
      </c>
      <c r="E229" t="str">
        <f t="shared" si="13"/>
        <v>Savex Technologies</v>
      </c>
      <c r="F229">
        <f t="shared" si="14"/>
        <v>40000</v>
      </c>
      <c r="G229">
        <f t="shared" si="15"/>
        <v>44000</v>
      </c>
    </row>
    <row r="230" spans="1:7" x14ac:dyDescent="0.25">
      <c r="A230" t="s">
        <v>229</v>
      </c>
      <c r="B230" t="s">
        <v>1009</v>
      </c>
      <c r="C230" t="str">
        <f t="shared" si="12"/>
        <v>Office Equipments</v>
      </c>
      <c r="D230" t="str">
        <f>IF(B230="Smartphone",D231,
IF(B230="Smartwatch",
"Apple",
IF(B230="Laptop",
" Apple",
IF(B230="Desktop PC",
"Lenovo",
IF(B230="Tablet",
"Samsung",
IF(B230="Headphone",
"Sony",
IF(B230="Camera",
"Sony",
IF(B230="Printer",
"HP",
IF(B230="External Hard Disk",
"Western Digital",
"Other")))))))))</f>
        <v>HP</v>
      </c>
      <c r="E230" t="str">
        <f t="shared" si="13"/>
        <v>Savex Technologies</v>
      </c>
      <c r="F230">
        <f t="shared" si="14"/>
        <v>40000</v>
      </c>
      <c r="G230">
        <f t="shared" si="15"/>
        <v>44000</v>
      </c>
    </row>
    <row r="231" spans="1:7" x14ac:dyDescent="0.25">
      <c r="A231" t="s">
        <v>230</v>
      </c>
      <c r="B231" t="s">
        <v>1005</v>
      </c>
      <c r="C231" t="str">
        <f t="shared" si="12"/>
        <v>Electronics (Computing Devices)</v>
      </c>
      <c r="D231" t="str">
        <f>IF(B231="Smartphone",D232,
IF(B231="Smartwatch",
"Apple",
IF(B231="Laptop",
" Apple",
IF(B231="Desktop PC",
"Lenovo",
IF(B231="Tablet",
"Samsung",
IF(B231="Headphone",
"Sony",
IF(B231="Camera",
"Sony",
IF(B231="Printer",
"HP",
IF(B231="External Hard Disk",
"Western Digital",
"Other")))))))))</f>
        <v>Samsung</v>
      </c>
      <c r="E231" t="str">
        <f t="shared" si="13"/>
        <v>Rashi Peripherals</v>
      </c>
      <c r="F231">
        <f t="shared" si="14"/>
        <v>30000</v>
      </c>
      <c r="G231">
        <f t="shared" si="15"/>
        <v>33000</v>
      </c>
    </row>
    <row r="232" spans="1:7" x14ac:dyDescent="0.25">
      <c r="A232" t="s">
        <v>231</v>
      </c>
      <c r="B232" t="s">
        <v>1007</v>
      </c>
      <c r="C232" t="str">
        <f t="shared" si="12"/>
        <v>Mobile and Wearables</v>
      </c>
      <c r="D232" t="str">
        <f>IF(B232="Smartphone",D233,
IF(B232="Smartwatch",
"Apple",
IF(B232="Laptop",
" Apple",
IF(B232="Desktop PC",
"Lenovo",
IF(B232="Tablet",
"Samsung",
IF(B232="Headphone",
"Sony",
IF(B232="Camera",
"Sony",
IF(B232="Printer",
"HP",
IF(B232="External Hard Disk",
"Western Digital",
"Other")))))))))</f>
        <v>Lenovo</v>
      </c>
      <c r="E232" t="str">
        <f t="shared" si="13"/>
        <v>Savex Technologies</v>
      </c>
      <c r="F232">
        <f t="shared" si="14"/>
        <v>45000</v>
      </c>
      <c r="G232">
        <f t="shared" si="15"/>
        <v>49500.000000000007</v>
      </c>
    </row>
    <row r="233" spans="1:7" x14ac:dyDescent="0.25">
      <c r="A233" t="s">
        <v>232</v>
      </c>
      <c r="B233" t="s">
        <v>1002</v>
      </c>
      <c r="C233" t="str">
        <f t="shared" si="12"/>
        <v>Electronics (Computing Devices)</v>
      </c>
      <c r="D233" t="str">
        <f>IF(B233="Smartphone",D234,
IF(B233="Smartwatch",
"Apple",
IF(B233="Laptop",
" Apple",
IF(B233="Desktop PC",
"Lenovo",
IF(B233="Tablet",
"Samsung",
IF(B233="Headphone",
"Sony",
IF(B233="Camera",
"Sony",
IF(B233="Printer",
"HP",
IF(B233="External Hard Disk",
"Western Digital",
"Other")))))))))</f>
        <v>Lenovo</v>
      </c>
      <c r="E233" t="str">
        <f t="shared" si="13"/>
        <v>Savex Technologies</v>
      </c>
      <c r="F233">
        <f t="shared" si="14"/>
        <v>45000</v>
      </c>
      <c r="G233">
        <f t="shared" si="15"/>
        <v>49500.000000000007</v>
      </c>
    </row>
    <row r="234" spans="1:7" x14ac:dyDescent="0.25">
      <c r="A234" t="s">
        <v>233</v>
      </c>
      <c r="B234" t="s">
        <v>1013</v>
      </c>
      <c r="C234" t="str">
        <f t="shared" si="12"/>
        <v>Storage Devices</v>
      </c>
      <c r="D234" t="str">
        <f>IF(B234="Smartphone",D235,
IF(B234="Smartwatch",
"Apple",
IF(B234="Laptop",
" Apple",
IF(B234="Desktop PC",
"Lenovo",
IF(B234="Tablet",
"Samsung",
IF(B234="Headphone",
"Sony",
IF(B234="Camera",
"Sony",
IF(B234="Printer",
"HP",
IF(B234="External Hard Disk",
"Western Digital",
"Other")))))))))</f>
        <v>Western Digital</v>
      </c>
      <c r="E234" t="str">
        <f t="shared" si="13"/>
        <v>Ingram Micron India</v>
      </c>
      <c r="F234">
        <f t="shared" si="14"/>
        <v>35000</v>
      </c>
      <c r="G234">
        <f t="shared" si="15"/>
        <v>38500</v>
      </c>
    </row>
    <row r="235" spans="1:7" x14ac:dyDescent="0.25">
      <c r="A235" t="s">
        <v>234</v>
      </c>
      <c r="B235" t="s">
        <v>1001</v>
      </c>
      <c r="C235" t="str">
        <f t="shared" si="12"/>
        <v>Mobile and Wearables</v>
      </c>
      <c r="D235" t="str">
        <f>IF(B235="Smartphone",D236,
IF(B235="Smartwatch",
"Apple",
IF(B235="Laptop",
" Apple",
IF(B235="Desktop PC",
"Lenovo",
IF(B235="Tablet",
"Samsung",
IF(B235="Headphone",
"Sony",
IF(B235="Camera",
"Sony",
IF(B235="Printer",
"HP",
IF(B235="External Hard Disk",
"Western Digital",
"Other")))))))))</f>
        <v>Apple</v>
      </c>
      <c r="E235" t="str">
        <f t="shared" si="13"/>
        <v>Redington India</v>
      </c>
      <c r="F235">
        <f t="shared" si="14"/>
        <v>40000</v>
      </c>
      <c r="G235">
        <f t="shared" si="15"/>
        <v>44000</v>
      </c>
    </row>
    <row r="236" spans="1:7" x14ac:dyDescent="0.25">
      <c r="A236" t="s">
        <v>235</v>
      </c>
      <c r="B236" t="s">
        <v>1005</v>
      </c>
      <c r="C236" t="str">
        <f t="shared" si="12"/>
        <v>Electronics (Computing Devices)</v>
      </c>
      <c r="D236" t="str">
        <f>IF(B236="Smartphone",D237,
IF(B236="Smartwatch",
"Apple",
IF(B236="Laptop",
" Apple",
IF(B236="Desktop PC",
"Lenovo",
IF(B236="Tablet",
"Samsung",
IF(B236="Headphone",
"Sony",
IF(B236="Camera",
"Sony",
IF(B236="Printer",
"HP",
IF(B236="External Hard Disk",
"Western Digital",
"Other")))))))))</f>
        <v>Samsung</v>
      </c>
      <c r="E236" t="str">
        <f t="shared" si="13"/>
        <v>Rashi Peripherals</v>
      </c>
      <c r="F236">
        <f t="shared" si="14"/>
        <v>30000</v>
      </c>
      <c r="G236">
        <f t="shared" si="15"/>
        <v>33000</v>
      </c>
    </row>
    <row r="237" spans="1:7" x14ac:dyDescent="0.25">
      <c r="A237" t="s">
        <v>236</v>
      </c>
      <c r="B237" t="s">
        <v>1010</v>
      </c>
      <c r="C237" t="str">
        <f t="shared" si="12"/>
        <v>Office Equipments</v>
      </c>
      <c r="D237" t="str">
        <f>IF(B237="Smartphone",D238,
IF(B237="Smartwatch",
"Apple",
IF(B237="Laptop",
" Apple",
IF(B237="Desktop PC",
"Lenovo",
IF(B237="Tablet",
"Samsung",
IF(B237="Headphone",
"Sony",
IF(B237="Camera",
"Sony",
IF(B237="Printer",
"HP",
IF(B237="External Hard Disk",
"Western Digital",
"Other")))))))))</f>
        <v>Sony</v>
      </c>
      <c r="E237" t="str">
        <f t="shared" si="13"/>
        <v>Supertron Electronics</v>
      </c>
      <c r="F237">
        <f t="shared" si="14"/>
        <v>60000</v>
      </c>
      <c r="G237">
        <f t="shared" si="15"/>
        <v>66000</v>
      </c>
    </row>
    <row r="238" spans="1:7" x14ac:dyDescent="0.25">
      <c r="A238" t="s">
        <v>237</v>
      </c>
      <c r="B238" t="s">
        <v>1007</v>
      </c>
      <c r="C238" t="str">
        <f t="shared" si="12"/>
        <v>Mobile and Wearables</v>
      </c>
      <c r="D238" t="str">
        <f>IF(B238="Smartphone",D239,
IF(B238="Smartwatch",
"Apple",
IF(B238="Laptop",
" Apple",
IF(B238="Desktop PC",
"Lenovo",
IF(B238="Tablet",
"Samsung",
IF(B238="Headphone",
"Sony",
IF(B238="Camera",
"Sony",
IF(B238="Printer",
"HP",
IF(B238="External Hard Disk",
"Western Digital",
"Other")))))))))</f>
        <v>Sony</v>
      </c>
      <c r="E238" t="str">
        <f t="shared" si="13"/>
        <v>Supertron Electronics</v>
      </c>
      <c r="F238">
        <f t="shared" si="14"/>
        <v>60000</v>
      </c>
      <c r="G238">
        <f t="shared" si="15"/>
        <v>66000</v>
      </c>
    </row>
    <row r="239" spans="1:7" x14ac:dyDescent="0.25">
      <c r="A239" t="s">
        <v>238</v>
      </c>
      <c r="B239" t="s">
        <v>1010</v>
      </c>
      <c r="C239" t="str">
        <f t="shared" si="12"/>
        <v>Office Equipments</v>
      </c>
      <c r="D239" t="str">
        <f>IF(B239="Smartphone",D240,
IF(B239="Smartwatch",
"Apple",
IF(B239="Laptop",
" Apple",
IF(B239="Desktop PC",
"Lenovo",
IF(B239="Tablet",
"Samsung",
IF(B239="Headphone",
"Sony",
IF(B239="Camera",
"Sony",
IF(B239="Printer",
"HP",
IF(B239="External Hard Disk",
"Western Digital",
"Other")))))))))</f>
        <v>Sony</v>
      </c>
      <c r="E239" t="str">
        <f t="shared" si="13"/>
        <v>Supertron Electronics</v>
      </c>
      <c r="F239">
        <f t="shared" si="14"/>
        <v>60000</v>
      </c>
      <c r="G239">
        <f t="shared" si="15"/>
        <v>66000</v>
      </c>
    </row>
    <row r="240" spans="1:7" x14ac:dyDescent="0.25">
      <c r="A240" t="s">
        <v>239</v>
      </c>
      <c r="B240" t="s">
        <v>1013</v>
      </c>
      <c r="C240" t="str">
        <f t="shared" si="12"/>
        <v>Storage Devices</v>
      </c>
      <c r="D240" t="str">
        <f>IF(B240="Smartphone",D241,
IF(B240="Smartwatch",
"Apple",
IF(B240="Laptop",
" Apple",
IF(B240="Desktop PC",
"Lenovo",
IF(B240="Tablet",
"Samsung",
IF(B240="Headphone",
"Sony",
IF(B240="Camera",
"Sony",
IF(B240="Printer",
"HP",
IF(B240="External Hard Disk",
"Western Digital",
"Other")))))))))</f>
        <v>Western Digital</v>
      </c>
      <c r="E240" t="str">
        <f t="shared" si="13"/>
        <v>Ingram Micron India</v>
      </c>
      <c r="F240">
        <f t="shared" si="14"/>
        <v>35000</v>
      </c>
      <c r="G240">
        <f t="shared" si="15"/>
        <v>38500</v>
      </c>
    </row>
    <row r="241" spans="1:7" x14ac:dyDescent="0.25">
      <c r="A241" t="s">
        <v>240</v>
      </c>
      <c r="B241" t="s">
        <v>1009</v>
      </c>
      <c r="C241" t="str">
        <f t="shared" si="12"/>
        <v>Office Equipments</v>
      </c>
      <c r="D241" t="str">
        <f>IF(B241="Smartphone",D242,
IF(B241="Smartwatch",
"Apple",
IF(B241="Laptop",
" Apple",
IF(B241="Desktop PC",
"Lenovo",
IF(B241="Tablet",
"Samsung",
IF(B241="Headphone",
"Sony",
IF(B241="Camera",
"Sony",
IF(B241="Printer",
"HP",
IF(B241="External Hard Disk",
"Western Digital",
"Other")))))))))</f>
        <v>HP</v>
      </c>
      <c r="E241" t="str">
        <f t="shared" si="13"/>
        <v>Savex Technologies</v>
      </c>
      <c r="F241">
        <f t="shared" si="14"/>
        <v>40000</v>
      </c>
      <c r="G241">
        <f t="shared" si="15"/>
        <v>44000</v>
      </c>
    </row>
    <row r="242" spans="1:7" x14ac:dyDescent="0.25">
      <c r="A242" t="s">
        <v>241</v>
      </c>
      <c r="B242" t="s">
        <v>1001</v>
      </c>
      <c r="C242" t="str">
        <f t="shared" si="12"/>
        <v>Mobile and Wearables</v>
      </c>
      <c r="D242" t="str">
        <f>IF(B242="Smartphone",D243,
IF(B242="Smartwatch",
"Apple",
IF(B242="Laptop",
" Apple",
IF(B242="Desktop PC",
"Lenovo",
IF(B242="Tablet",
"Samsung",
IF(B242="Headphone",
"Sony",
IF(B242="Camera",
"Sony",
IF(B242="Printer",
"HP",
IF(B242="External Hard Disk",
"Western Digital",
"Other")))))))))</f>
        <v>Apple</v>
      </c>
      <c r="E242" t="str">
        <f t="shared" si="13"/>
        <v>Redington India</v>
      </c>
      <c r="F242">
        <f t="shared" si="14"/>
        <v>40000</v>
      </c>
      <c r="G242">
        <f t="shared" si="15"/>
        <v>44000</v>
      </c>
    </row>
    <row r="243" spans="1:7" x14ac:dyDescent="0.25">
      <c r="A243" t="s">
        <v>242</v>
      </c>
      <c r="B243" t="s">
        <v>1013</v>
      </c>
      <c r="C243" t="str">
        <f t="shared" si="12"/>
        <v>Storage Devices</v>
      </c>
      <c r="D243" t="str">
        <f>IF(B243="Smartphone",D244,
IF(B243="Smartwatch",
"Apple",
IF(B243="Laptop",
" Apple",
IF(B243="Desktop PC",
"Lenovo",
IF(B243="Tablet",
"Samsung",
IF(B243="Headphone",
"Sony",
IF(B243="Camera",
"Sony",
IF(B243="Printer",
"HP",
IF(B243="External Hard Disk",
"Western Digital",
"Other")))))))))</f>
        <v>Western Digital</v>
      </c>
      <c r="E243" t="str">
        <f t="shared" si="13"/>
        <v>Ingram Micron India</v>
      </c>
      <c r="F243">
        <f t="shared" si="14"/>
        <v>35000</v>
      </c>
      <c r="G243">
        <f t="shared" si="15"/>
        <v>38500</v>
      </c>
    </row>
    <row r="244" spans="1:7" x14ac:dyDescent="0.25">
      <c r="A244" t="s">
        <v>243</v>
      </c>
      <c r="B244" t="s">
        <v>1001</v>
      </c>
      <c r="C244" t="str">
        <f t="shared" si="12"/>
        <v>Mobile and Wearables</v>
      </c>
      <c r="D244" t="str">
        <f>IF(B244="Smartphone",D245,
IF(B244="Smartwatch",
"Apple",
IF(B244="Laptop",
" Apple",
IF(B244="Desktop PC",
"Lenovo",
IF(B244="Tablet",
"Samsung",
IF(B244="Headphone",
"Sony",
IF(B244="Camera",
"Sony",
IF(B244="Printer",
"HP",
IF(B244="External Hard Disk",
"Western Digital",
"Other")))))))))</f>
        <v>Apple</v>
      </c>
      <c r="E244" t="str">
        <f t="shared" si="13"/>
        <v>Redington India</v>
      </c>
      <c r="F244">
        <f t="shared" si="14"/>
        <v>40000</v>
      </c>
      <c r="G244">
        <f t="shared" si="15"/>
        <v>44000</v>
      </c>
    </row>
    <row r="245" spans="1:7" x14ac:dyDescent="0.25">
      <c r="A245" t="s">
        <v>244</v>
      </c>
      <c r="B245" t="s">
        <v>1007</v>
      </c>
      <c r="C245" t="str">
        <f t="shared" si="12"/>
        <v>Mobile and Wearables</v>
      </c>
      <c r="D245" t="str">
        <f>IF(B245="Smartphone",D246,
IF(B245="Smartwatch",
"Apple",
IF(B245="Laptop",
" Apple",
IF(B245="Desktop PC",
"Lenovo",
IF(B245="Tablet",
"Samsung",
IF(B245="Headphone",
"Sony",
IF(B245="Camera",
"Sony",
IF(B245="Printer",
"HP",
IF(B245="External Hard Disk",
"Western Digital",
"Other")))))))))</f>
        <v xml:space="preserve"> Apple</v>
      </c>
      <c r="E245" t="str">
        <f t="shared" si="13"/>
        <v>Ingram Micron India</v>
      </c>
      <c r="F245">
        <f t="shared" si="14"/>
        <v>35000</v>
      </c>
      <c r="G245">
        <f t="shared" si="15"/>
        <v>38500</v>
      </c>
    </row>
    <row r="246" spans="1:7" x14ac:dyDescent="0.25">
      <c r="A246" t="s">
        <v>245</v>
      </c>
      <c r="B246" t="s">
        <v>1004</v>
      </c>
      <c r="C246" t="str">
        <f t="shared" si="12"/>
        <v>Electronics (Computing Devices)</v>
      </c>
      <c r="D246" t="str">
        <f>IF(B246="Smartphone",D247,
IF(B246="Smartwatch",
"Apple",
IF(B246="Laptop",
" Apple",
IF(B246="Desktop PC",
"Lenovo",
IF(B246="Tablet",
"Samsung",
IF(B246="Headphone",
"Sony",
IF(B246="Camera",
"Sony",
IF(B246="Printer",
"HP",
IF(B246="External Hard Disk",
"Western Digital",
"Other")))))))))</f>
        <v xml:space="preserve"> Apple</v>
      </c>
      <c r="E246" t="str">
        <f t="shared" si="13"/>
        <v>Ingram Micron India</v>
      </c>
      <c r="F246">
        <f t="shared" si="14"/>
        <v>35000</v>
      </c>
      <c r="G246">
        <f t="shared" si="15"/>
        <v>38500</v>
      </c>
    </row>
    <row r="247" spans="1:7" x14ac:dyDescent="0.25">
      <c r="A247" t="s">
        <v>246</v>
      </c>
      <c r="B247" t="s">
        <v>1012</v>
      </c>
      <c r="C247" t="str">
        <f t="shared" si="12"/>
        <v>Audio Devices</v>
      </c>
      <c r="D247" t="str">
        <f>IF(B247="Smartphone",D248,
IF(B247="Smartwatch",
"Apple",
IF(B247="Laptop",
" Apple",
IF(B247="Desktop PC",
"Lenovo",
IF(B247="Tablet",
"Samsung",
IF(B247="Headphone",
"Sony",
IF(B247="Camera",
"Sony",
IF(B247="Printer",
"HP",
IF(B247="External Hard Disk",
"Western Digital",
"Other")))))))))</f>
        <v>Sony</v>
      </c>
      <c r="E247" t="str">
        <f t="shared" si="13"/>
        <v>Supertron Electronics</v>
      </c>
      <c r="F247">
        <f t="shared" si="14"/>
        <v>60000</v>
      </c>
      <c r="G247">
        <f t="shared" si="15"/>
        <v>66000</v>
      </c>
    </row>
    <row r="248" spans="1:7" x14ac:dyDescent="0.25">
      <c r="A248" t="s">
        <v>247</v>
      </c>
      <c r="B248" t="s">
        <v>1009</v>
      </c>
      <c r="C248" t="str">
        <f t="shared" si="12"/>
        <v>Office Equipments</v>
      </c>
      <c r="D248" t="str">
        <f>IF(B248="Smartphone",D249,
IF(B248="Smartwatch",
"Apple",
IF(B248="Laptop",
" Apple",
IF(B248="Desktop PC",
"Lenovo",
IF(B248="Tablet",
"Samsung",
IF(B248="Headphone",
"Sony",
IF(B248="Camera",
"Sony",
IF(B248="Printer",
"HP",
IF(B248="External Hard Disk",
"Western Digital",
"Other")))))))))</f>
        <v>HP</v>
      </c>
      <c r="E248" t="str">
        <f t="shared" si="13"/>
        <v>Savex Technologies</v>
      </c>
      <c r="F248">
        <f t="shared" si="14"/>
        <v>40000</v>
      </c>
      <c r="G248">
        <f t="shared" si="15"/>
        <v>44000</v>
      </c>
    </row>
    <row r="249" spans="1:7" x14ac:dyDescent="0.25">
      <c r="A249" t="s">
        <v>248</v>
      </c>
      <c r="B249" t="s">
        <v>1003</v>
      </c>
      <c r="C249" t="str">
        <f t="shared" si="12"/>
        <v>Electronics (Computing Devices)</v>
      </c>
      <c r="D249" t="str">
        <f>IF(B249="Smartphone",D250,
IF(B249="Smartwatch",
"Apple",
IF(B249="Laptop",
" Apple",
IF(B249="Desktop PC",
"Lenovo",
IF(B249="Tablet",
"Samsung",
IF(B249="Headphone",
"Sony",
IF(B249="Camera",
"Sony",
IF(B249="Printer",
"HP",
IF(B249="External Hard Disk",
"Western Digital",
"Other")))))))))</f>
        <v>Other</v>
      </c>
      <c r="E249" t="str">
        <f t="shared" si="13"/>
        <v>Ingram Micron India</v>
      </c>
      <c r="F249">
        <f t="shared" si="14"/>
        <v>35000</v>
      </c>
      <c r="G249">
        <f t="shared" si="15"/>
        <v>38500</v>
      </c>
    </row>
    <row r="250" spans="1:7" x14ac:dyDescent="0.25">
      <c r="A250" t="s">
        <v>249</v>
      </c>
      <c r="B250" t="s">
        <v>1013</v>
      </c>
      <c r="C250" t="str">
        <f t="shared" si="12"/>
        <v>Storage Devices</v>
      </c>
      <c r="D250" t="str">
        <f>IF(B250="Smartphone",D251,
IF(B250="Smartwatch",
"Apple",
IF(B250="Laptop",
" Apple",
IF(B250="Desktop PC",
"Lenovo",
IF(B250="Tablet",
"Samsung",
IF(B250="Headphone",
"Sony",
IF(B250="Camera",
"Sony",
IF(B250="Printer",
"HP",
IF(B250="External Hard Disk",
"Western Digital",
"Other")))))))))</f>
        <v>Western Digital</v>
      </c>
      <c r="E250" t="str">
        <f t="shared" si="13"/>
        <v>Ingram Micron India</v>
      </c>
      <c r="F250">
        <f t="shared" si="14"/>
        <v>35000</v>
      </c>
      <c r="G250">
        <f t="shared" si="15"/>
        <v>38500</v>
      </c>
    </row>
    <row r="251" spans="1:7" x14ac:dyDescent="0.25">
      <c r="A251" t="s">
        <v>250</v>
      </c>
      <c r="B251" t="s">
        <v>1013</v>
      </c>
      <c r="C251" t="str">
        <f t="shared" si="12"/>
        <v>Storage Devices</v>
      </c>
      <c r="D251" t="str">
        <f>IF(B251="Smartphone",D252,
IF(B251="Smartwatch",
"Apple",
IF(B251="Laptop",
" Apple",
IF(B251="Desktop PC",
"Lenovo",
IF(B251="Tablet",
"Samsung",
IF(B251="Headphone",
"Sony",
IF(B251="Camera",
"Sony",
IF(B251="Printer",
"HP",
IF(B251="External Hard Disk",
"Western Digital",
"Other")))))))))</f>
        <v>Western Digital</v>
      </c>
      <c r="E251" t="str">
        <f t="shared" si="13"/>
        <v>Ingram Micron India</v>
      </c>
      <c r="F251">
        <f t="shared" si="14"/>
        <v>35000</v>
      </c>
      <c r="G251">
        <f t="shared" si="15"/>
        <v>38500</v>
      </c>
    </row>
    <row r="252" spans="1:7" x14ac:dyDescent="0.25">
      <c r="A252" t="s">
        <v>251</v>
      </c>
      <c r="B252" t="s">
        <v>1007</v>
      </c>
      <c r="C252" t="str">
        <f t="shared" si="12"/>
        <v>Mobile and Wearables</v>
      </c>
      <c r="D252" t="str">
        <f>IF(B252="Smartphone",D253,
IF(B252="Smartwatch",
"Apple",
IF(B252="Laptop",
" Apple",
IF(B252="Desktop PC",
"Lenovo",
IF(B252="Tablet",
"Samsung",
IF(B252="Headphone",
"Sony",
IF(B252="Camera",
"Sony",
IF(B252="Printer",
"HP",
IF(B252="External Hard Disk",
"Western Digital",
"Other")))))))))</f>
        <v>Samsung</v>
      </c>
      <c r="E252" t="str">
        <f t="shared" si="13"/>
        <v>Rashi Peripherals</v>
      </c>
      <c r="F252">
        <f t="shared" si="14"/>
        <v>30000</v>
      </c>
      <c r="G252">
        <f t="shared" si="15"/>
        <v>33000</v>
      </c>
    </row>
    <row r="253" spans="1:7" x14ac:dyDescent="0.25">
      <c r="A253" t="s">
        <v>252</v>
      </c>
      <c r="B253" t="s">
        <v>1005</v>
      </c>
      <c r="C253" t="str">
        <f t="shared" si="12"/>
        <v>Electronics (Computing Devices)</v>
      </c>
      <c r="D253" t="str">
        <f>IF(B253="Smartphone",D254,
IF(B253="Smartwatch",
"Apple",
IF(B253="Laptop",
" Apple",
IF(B253="Desktop PC",
"Lenovo",
IF(B253="Tablet",
"Samsung",
IF(B253="Headphone",
"Sony",
IF(B253="Camera",
"Sony",
IF(B253="Printer",
"HP",
IF(B253="External Hard Disk",
"Western Digital",
"Other")))))))))</f>
        <v>Samsung</v>
      </c>
      <c r="E253" t="str">
        <f t="shared" si="13"/>
        <v>Rashi Peripherals</v>
      </c>
      <c r="F253">
        <f t="shared" si="14"/>
        <v>30000</v>
      </c>
      <c r="G253">
        <f t="shared" si="15"/>
        <v>33000</v>
      </c>
    </row>
    <row r="254" spans="1:7" x14ac:dyDescent="0.25">
      <c r="A254" t="s">
        <v>253</v>
      </c>
      <c r="B254" t="s">
        <v>1013</v>
      </c>
      <c r="C254" t="str">
        <f t="shared" si="12"/>
        <v>Storage Devices</v>
      </c>
      <c r="D254" t="str">
        <f>IF(B254="Smartphone",D255,
IF(B254="Smartwatch",
"Apple",
IF(B254="Laptop",
" Apple",
IF(B254="Desktop PC",
"Lenovo",
IF(B254="Tablet",
"Samsung",
IF(B254="Headphone",
"Sony",
IF(B254="Camera",
"Sony",
IF(B254="Printer",
"HP",
IF(B254="External Hard Disk",
"Western Digital",
"Other")))))))))</f>
        <v>Western Digital</v>
      </c>
      <c r="E254" t="str">
        <f t="shared" si="13"/>
        <v>Ingram Micron India</v>
      </c>
      <c r="F254">
        <f t="shared" si="14"/>
        <v>35000</v>
      </c>
      <c r="G254">
        <f t="shared" si="15"/>
        <v>38500</v>
      </c>
    </row>
    <row r="255" spans="1:7" x14ac:dyDescent="0.25">
      <c r="A255" t="s">
        <v>254</v>
      </c>
      <c r="B255" t="s">
        <v>1009</v>
      </c>
      <c r="C255" t="str">
        <f t="shared" si="12"/>
        <v>Office Equipments</v>
      </c>
      <c r="D255" t="str">
        <f>IF(B255="Smartphone",D256,
IF(B255="Smartwatch",
"Apple",
IF(B255="Laptop",
" Apple",
IF(B255="Desktop PC",
"Lenovo",
IF(B255="Tablet",
"Samsung",
IF(B255="Headphone",
"Sony",
IF(B255="Camera",
"Sony",
IF(B255="Printer",
"HP",
IF(B255="External Hard Disk",
"Western Digital",
"Other")))))))))</f>
        <v>HP</v>
      </c>
      <c r="E255" t="str">
        <f t="shared" si="13"/>
        <v>Savex Technologies</v>
      </c>
      <c r="F255">
        <f t="shared" si="14"/>
        <v>40000</v>
      </c>
      <c r="G255">
        <f t="shared" si="15"/>
        <v>44000</v>
      </c>
    </row>
    <row r="256" spans="1:7" x14ac:dyDescent="0.25">
      <c r="A256" t="s">
        <v>255</v>
      </c>
      <c r="B256" t="s">
        <v>1001</v>
      </c>
      <c r="C256" t="str">
        <f t="shared" si="12"/>
        <v>Mobile and Wearables</v>
      </c>
      <c r="D256" t="str">
        <f>IF(B256="Smartphone",D257,
IF(B256="Smartwatch",
"Apple",
IF(B256="Laptop",
" Apple",
IF(B256="Desktop PC",
"Lenovo",
IF(B256="Tablet",
"Samsung",
IF(B256="Headphone",
"Sony",
IF(B256="Camera",
"Sony",
IF(B256="Printer",
"HP",
IF(B256="External Hard Disk",
"Western Digital",
"Other")))))))))</f>
        <v>Apple</v>
      </c>
      <c r="E256" t="str">
        <f t="shared" si="13"/>
        <v>Redington India</v>
      </c>
      <c r="F256">
        <f t="shared" si="14"/>
        <v>40000</v>
      </c>
      <c r="G256">
        <f t="shared" si="15"/>
        <v>44000</v>
      </c>
    </row>
    <row r="257" spans="1:7" x14ac:dyDescent="0.25">
      <c r="A257" t="s">
        <v>256</v>
      </c>
      <c r="B257" t="s">
        <v>1010</v>
      </c>
      <c r="C257" t="str">
        <f t="shared" si="12"/>
        <v>Office Equipments</v>
      </c>
      <c r="D257" t="str">
        <f>IF(B257="Smartphone",D258,
IF(B257="Smartwatch",
"Apple",
IF(B257="Laptop",
" Apple",
IF(B257="Desktop PC",
"Lenovo",
IF(B257="Tablet",
"Samsung",
IF(B257="Headphone",
"Sony",
IF(B257="Camera",
"Sony",
IF(B257="Printer",
"HP",
IF(B257="External Hard Disk",
"Western Digital",
"Other")))))))))</f>
        <v>Sony</v>
      </c>
      <c r="E257" t="str">
        <f t="shared" si="13"/>
        <v>Supertron Electronics</v>
      </c>
      <c r="F257">
        <f t="shared" si="14"/>
        <v>60000</v>
      </c>
      <c r="G257">
        <f t="shared" si="15"/>
        <v>66000</v>
      </c>
    </row>
    <row r="258" spans="1:7" x14ac:dyDescent="0.25">
      <c r="A258" t="s">
        <v>257</v>
      </c>
      <c r="B258" t="s">
        <v>1010</v>
      </c>
      <c r="C258" t="str">
        <f t="shared" si="12"/>
        <v>Office Equipments</v>
      </c>
      <c r="D258" t="str">
        <f>IF(B258="Smartphone",D259,
IF(B258="Smartwatch",
"Apple",
IF(B258="Laptop",
" Apple",
IF(B258="Desktop PC",
"Lenovo",
IF(B258="Tablet",
"Samsung",
IF(B258="Headphone",
"Sony",
IF(B258="Camera",
"Sony",
IF(B258="Printer",
"HP",
IF(B258="External Hard Disk",
"Western Digital",
"Other")))))))))</f>
        <v>Sony</v>
      </c>
      <c r="E258" t="str">
        <f t="shared" si="13"/>
        <v>Supertron Electronics</v>
      </c>
      <c r="F258">
        <f t="shared" si="14"/>
        <v>60000</v>
      </c>
      <c r="G258">
        <f t="shared" si="15"/>
        <v>66000</v>
      </c>
    </row>
    <row r="259" spans="1:7" x14ac:dyDescent="0.25">
      <c r="A259" t="s">
        <v>258</v>
      </c>
      <c r="B259" t="s">
        <v>1003</v>
      </c>
      <c r="C259" t="str">
        <f t="shared" ref="C259:C322" si="16">IF(OR(B259="Laptop",B259="Desktop PC",B259="Tablet",B259="E-Reader"),
"Electronics (Computing Devices)",
IF(OR(B259="Smartphone",B259="Smartwatch"),
"Mobile and Wearables",
IF(B259="Headphone",
"Audio Devices",
IF(OR(B259="Printer",B259="Camera"),
"Office Equipments",
IF(B259="External Hard Disk",
"Storage Devices",
"Other")))))</f>
        <v>Electronics (Computing Devices)</v>
      </c>
      <c r="D259" t="str">
        <f>IF(B259="Smartphone",D260,
IF(B259="Smartwatch",
"Apple",
IF(B259="Laptop",
" Apple",
IF(B259="Desktop PC",
"Lenovo",
IF(B259="Tablet",
"Samsung",
IF(B259="Headphone",
"Sony",
IF(B259="Camera",
"Sony",
IF(B259="Printer",
"HP",
IF(B259="External Hard Disk",
"Western Digital",
"Other")))))))))</f>
        <v>Other</v>
      </c>
      <c r="E259" t="str">
        <f t="shared" ref="E259:E322" si="17">IF(D259="Apple",
"Redington India",
IF(D259="Samsung",
"Rashi Peripherals",
IF(D259="Sony",
"Supertron Electronics",
IF(OR(D259="Lenovo",D259="HP",D259="Dell"),
"Savex Technologies",
IF(C259="Printer",
"Rashi Peripherals",
IF(C259="Camera",
"Redington India",
IF(C259="External Hard Disk",
"Supertron Electronics",
"Ingram Micron India")))))))</f>
        <v>Ingram Micron India</v>
      </c>
      <c r="F259">
        <f t="shared" ref="F259:F322" si="18">IF(D259="Apple",
IF(C259="Smartphone",95000,
IF(C259="Tablet",75000,
IF(C259="Laptop",150000,
IF(C259="Smartwatch",90000,40000)))),
IF(D259="Samsung",
IF(C259="Smartphone",55000,
IF(C259="Tablet",40000,
IF(C259="Smartwatch",25000,30000))),
IF(D259="Lenovo",
IF(C259="Laptop",85000,
IF(C259="Desktop PC",70000,45000)),
IF(D259="HP",
IF(C259="Printer",30000,
IF(C259="Laptop",80000,40000)),
IF(D259="Sony",
IF(C259="Headphone",15000,
IF(C259="Camera",120000,60000)),
IF(C259="External Hard Disk",
IF(D259="Seagate",7000,
IF(D259="Western Digital",8000,7500)),
35000))))))</f>
        <v>35000</v>
      </c>
      <c r="G259">
        <f t="shared" ref="G259:G322" si="19">IF(C259="Smartphone",F259*1.1,
IF(C259="Laptop",F259*1.08,
IF(C259="Tablet",F259*1.12,
IF(C259="Smartwatch",F259*1.15,
IF(C259="Desktop PC",F259*1.07,
IF(C259="Printer",F259*1.18,
IF(C259="Camera",F259*1.12,
IF(C259="Headphone",F259*1.25,
IF(C259="External Hard Disk",F259*1.2,
F259*1.1)))))))))</f>
        <v>38500</v>
      </c>
    </row>
    <row r="260" spans="1:7" x14ac:dyDescent="0.25">
      <c r="A260" t="s">
        <v>259</v>
      </c>
      <c r="B260" t="s">
        <v>1009</v>
      </c>
      <c r="C260" t="str">
        <f t="shared" si="16"/>
        <v>Office Equipments</v>
      </c>
      <c r="D260" t="str">
        <f>IF(B260="Smartphone",D261,
IF(B260="Smartwatch",
"Apple",
IF(B260="Laptop",
" Apple",
IF(B260="Desktop PC",
"Lenovo",
IF(B260="Tablet",
"Samsung",
IF(B260="Headphone",
"Sony",
IF(B260="Camera",
"Sony",
IF(B260="Printer",
"HP",
IF(B260="External Hard Disk",
"Western Digital",
"Other")))))))))</f>
        <v>HP</v>
      </c>
      <c r="E260" t="str">
        <f t="shared" si="17"/>
        <v>Savex Technologies</v>
      </c>
      <c r="F260">
        <f t="shared" si="18"/>
        <v>40000</v>
      </c>
      <c r="G260">
        <f t="shared" si="19"/>
        <v>44000</v>
      </c>
    </row>
    <row r="261" spans="1:7" x14ac:dyDescent="0.25">
      <c r="A261" t="s">
        <v>260</v>
      </c>
      <c r="B261" t="s">
        <v>1005</v>
      </c>
      <c r="C261" t="str">
        <f t="shared" si="16"/>
        <v>Electronics (Computing Devices)</v>
      </c>
      <c r="D261" t="str">
        <f>IF(B261="Smartphone",D262,
IF(B261="Smartwatch",
"Apple",
IF(B261="Laptop",
" Apple",
IF(B261="Desktop PC",
"Lenovo",
IF(B261="Tablet",
"Samsung",
IF(B261="Headphone",
"Sony",
IF(B261="Camera",
"Sony",
IF(B261="Printer",
"HP",
IF(B261="External Hard Disk",
"Western Digital",
"Other")))))))))</f>
        <v>Samsung</v>
      </c>
      <c r="E261" t="str">
        <f t="shared" si="17"/>
        <v>Rashi Peripherals</v>
      </c>
      <c r="F261">
        <f t="shared" si="18"/>
        <v>30000</v>
      </c>
      <c r="G261">
        <f t="shared" si="19"/>
        <v>33000</v>
      </c>
    </row>
    <row r="262" spans="1:7" x14ac:dyDescent="0.25">
      <c r="A262" t="s">
        <v>261</v>
      </c>
      <c r="B262" t="s">
        <v>1010</v>
      </c>
      <c r="C262" t="str">
        <f t="shared" si="16"/>
        <v>Office Equipments</v>
      </c>
      <c r="D262" t="str">
        <f>IF(B262="Smartphone",D263,
IF(B262="Smartwatch",
"Apple",
IF(B262="Laptop",
" Apple",
IF(B262="Desktop PC",
"Lenovo",
IF(B262="Tablet",
"Samsung",
IF(B262="Headphone",
"Sony",
IF(B262="Camera",
"Sony",
IF(B262="Printer",
"HP",
IF(B262="External Hard Disk",
"Western Digital",
"Other")))))))))</f>
        <v>Sony</v>
      </c>
      <c r="E262" t="str">
        <f t="shared" si="17"/>
        <v>Supertron Electronics</v>
      </c>
      <c r="F262">
        <f t="shared" si="18"/>
        <v>60000</v>
      </c>
      <c r="G262">
        <f t="shared" si="19"/>
        <v>66000</v>
      </c>
    </row>
    <row r="263" spans="1:7" x14ac:dyDescent="0.25">
      <c r="A263" t="s">
        <v>262</v>
      </c>
      <c r="B263" t="s">
        <v>1010</v>
      </c>
      <c r="C263" t="str">
        <f t="shared" si="16"/>
        <v>Office Equipments</v>
      </c>
      <c r="D263" t="str">
        <f>IF(B263="Smartphone",D264,
IF(B263="Smartwatch",
"Apple",
IF(B263="Laptop",
" Apple",
IF(B263="Desktop PC",
"Lenovo",
IF(B263="Tablet",
"Samsung",
IF(B263="Headphone",
"Sony",
IF(B263="Camera",
"Sony",
IF(B263="Printer",
"HP",
IF(B263="External Hard Disk",
"Western Digital",
"Other")))))))))</f>
        <v>Sony</v>
      </c>
      <c r="E263" t="str">
        <f t="shared" si="17"/>
        <v>Supertron Electronics</v>
      </c>
      <c r="F263">
        <f t="shared" si="18"/>
        <v>60000</v>
      </c>
      <c r="G263">
        <f t="shared" si="19"/>
        <v>66000</v>
      </c>
    </row>
    <row r="264" spans="1:7" x14ac:dyDescent="0.25">
      <c r="A264" t="s">
        <v>263</v>
      </c>
      <c r="B264" t="s">
        <v>1009</v>
      </c>
      <c r="C264" t="str">
        <f t="shared" si="16"/>
        <v>Office Equipments</v>
      </c>
      <c r="D264" t="str">
        <f>IF(B264="Smartphone",D265,
IF(B264="Smartwatch",
"Apple",
IF(B264="Laptop",
" Apple",
IF(B264="Desktop PC",
"Lenovo",
IF(B264="Tablet",
"Samsung",
IF(B264="Headphone",
"Sony",
IF(B264="Camera",
"Sony",
IF(B264="Printer",
"HP",
IF(B264="External Hard Disk",
"Western Digital",
"Other")))))))))</f>
        <v>HP</v>
      </c>
      <c r="E264" t="str">
        <f t="shared" si="17"/>
        <v>Savex Technologies</v>
      </c>
      <c r="F264">
        <f t="shared" si="18"/>
        <v>40000</v>
      </c>
      <c r="G264">
        <f t="shared" si="19"/>
        <v>44000</v>
      </c>
    </row>
    <row r="265" spans="1:7" x14ac:dyDescent="0.25">
      <c r="A265" t="s">
        <v>264</v>
      </c>
      <c r="B265" t="s">
        <v>1001</v>
      </c>
      <c r="C265" t="str">
        <f t="shared" si="16"/>
        <v>Mobile and Wearables</v>
      </c>
      <c r="D265" t="str">
        <f>IF(B265="Smartphone",D266,
IF(B265="Smartwatch",
"Apple",
IF(B265="Laptop",
" Apple",
IF(B265="Desktop PC",
"Lenovo",
IF(B265="Tablet",
"Samsung",
IF(B265="Headphone",
"Sony",
IF(B265="Camera",
"Sony",
IF(B265="Printer",
"HP",
IF(B265="External Hard Disk",
"Western Digital",
"Other")))))))))</f>
        <v>Apple</v>
      </c>
      <c r="E265" t="str">
        <f t="shared" si="17"/>
        <v>Redington India</v>
      </c>
      <c r="F265">
        <f t="shared" si="18"/>
        <v>40000</v>
      </c>
      <c r="G265">
        <f t="shared" si="19"/>
        <v>44000</v>
      </c>
    </row>
    <row r="266" spans="1:7" x14ac:dyDescent="0.25">
      <c r="A266" t="s">
        <v>265</v>
      </c>
      <c r="B266" t="s">
        <v>1004</v>
      </c>
      <c r="C266" t="str">
        <f t="shared" si="16"/>
        <v>Electronics (Computing Devices)</v>
      </c>
      <c r="D266" t="str">
        <f>IF(B266="Smartphone",D267,
IF(B266="Smartwatch",
"Apple",
IF(B266="Laptop",
" Apple",
IF(B266="Desktop PC",
"Lenovo",
IF(B266="Tablet",
"Samsung",
IF(B266="Headphone",
"Sony",
IF(B266="Camera",
"Sony",
IF(B266="Printer",
"HP",
IF(B266="External Hard Disk",
"Western Digital",
"Other")))))))))</f>
        <v xml:space="preserve"> Apple</v>
      </c>
      <c r="E266" t="str">
        <f t="shared" si="17"/>
        <v>Ingram Micron India</v>
      </c>
      <c r="F266">
        <f t="shared" si="18"/>
        <v>35000</v>
      </c>
      <c r="G266">
        <f t="shared" si="19"/>
        <v>38500</v>
      </c>
    </row>
    <row r="267" spans="1:7" x14ac:dyDescent="0.25">
      <c r="A267" t="s">
        <v>266</v>
      </c>
      <c r="B267" t="s">
        <v>1010</v>
      </c>
      <c r="C267" t="str">
        <f t="shared" si="16"/>
        <v>Office Equipments</v>
      </c>
      <c r="D267" t="str">
        <f>IF(B267="Smartphone",D268,
IF(B267="Smartwatch",
"Apple",
IF(B267="Laptop",
" Apple",
IF(B267="Desktop PC",
"Lenovo",
IF(B267="Tablet",
"Samsung",
IF(B267="Headphone",
"Sony",
IF(B267="Camera",
"Sony",
IF(B267="Printer",
"HP",
IF(B267="External Hard Disk",
"Western Digital",
"Other")))))))))</f>
        <v>Sony</v>
      </c>
      <c r="E267" t="str">
        <f t="shared" si="17"/>
        <v>Supertron Electronics</v>
      </c>
      <c r="F267">
        <f t="shared" si="18"/>
        <v>60000</v>
      </c>
      <c r="G267">
        <f t="shared" si="19"/>
        <v>66000</v>
      </c>
    </row>
    <row r="268" spans="1:7" x14ac:dyDescent="0.25">
      <c r="A268" t="s">
        <v>267</v>
      </c>
      <c r="B268" t="s">
        <v>1004</v>
      </c>
      <c r="C268" t="str">
        <f t="shared" si="16"/>
        <v>Electronics (Computing Devices)</v>
      </c>
      <c r="D268" t="str">
        <f>IF(B268="Smartphone",D269,
IF(B268="Smartwatch",
"Apple",
IF(B268="Laptop",
" Apple",
IF(B268="Desktop PC",
"Lenovo",
IF(B268="Tablet",
"Samsung",
IF(B268="Headphone",
"Sony",
IF(B268="Camera",
"Sony",
IF(B268="Printer",
"HP",
IF(B268="External Hard Disk",
"Western Digital",
"Other")))))))))</f>
        <v xml:space="preserve"> Apple</v>
      </c>
      <c r="E268" t="str">
        <f t="shared" si="17"/>
        <v>Ingram Micron India</v>
      </c>
      <c r="F268">
        <f t="shared" si="18"/>
        <v>35000</v>
      </c>
      <c r="G268">
        <f t="shared" si="19"/>
        <v>38500</v>
      </c>
    </row>
    <row r="269" spans="1:7" x14ac:dyDescent="0.25">
      <c r="A269" t="s">
        <v>268</v>
      </c>
      <c r="B269" t="s">
        <v>1012</v>
      </c>
      <c r="C269" t="str">
        <f t="shared" si="16"/>
        <v>Audio Devices</v>
      </c>
      <c r="D269" t="str">
        <f>IF(B269="Smartphone",D270,
IF(B269="Smartwatch",
"Apple",
IF(B269="Laptop",
" Apple",
IF(B269="Desktop PC",
"Lenovo",
IF(B269="Tablet",
"Samsung",
IF(B269="Headphone",
"Sony",
IF(B269="Camera",
"Sony",
IF(B269="Printer",
"HP",
IF(B269="External Hard Disk",
"Western Digital",
"Other")))))))))</f>
        <v>Sony</v>
      </c>
      <c r="E269" t="str">
        <f t="shared" si="17"/>
        <v>Supertron Electronics</v>
      </c>
      <c r="F269">
        <f t="shared" si="18"/>
        <v>60000</v>
      </c>
      <c r="G269">
        <f t="shared" si="19"/>
        <v>66000</v>
      </c>
    </row>
    <row r="270" spans="1:7" x14ac:dyDescent="0.25">
      <c r="A270" t="s">
        <v>269</v>
      </c>
      <c r="B270" t="s">
        <v>1013</v>
      </c>
      <c r="C270" t="str">
        <f t="shared" si="16"/>
        <v>Storage Devices</v>
      </c>
      <c r="D270" t="str">
        <f>IF(B270="Smartphone",D271,
IF(B270="Smartwatch",
"Apple",
IF(B270="Laptop",
" Apple",
IF(B270="Desktop PC",
"Lenovo",
IF(B270="Tablet",
"Samsung",
IF(B270="Headphone",
"Sony",
IF(B270="Camera",
"Sony",
IF(B270="Printer",
"HP",
IF(B270="External Hard Disk",
"Western Digital",
"Other")))))))))</f>
        <v>Western Digital</v>
      </c>
      <c r="E270" t="str">
        <f t="shared" si="17"/>
        <v>Ingram Micron India</v>
      </c>
      <c r="F270">
        <f t="shared" si="18"/>
        <v>35000</v>
      </c>
      <c r="G270">
        <f t="shared" si="19"/>
        <v>38500</v>
      </c>
    </row>
    <row r="271" spans="1:7" x14ac:dyDescent="0.25">
      <c r="A271" t="s">
        <v>270</v>
      </c>
      <c r="B271" t="s">
        <v>1007</v>
      </c>
      <c r="C271" t="str">
        <f t="shared" si="16"/>
        <v>Mobile and Wearables</v>
      </c>
      <c r="D271" t="str">
        <f>IF(B271="Smartphone",D272,
IF(B271="Smartwatch",
"Apple",
IF(B271="Laptop",
" Apple",
IF(B271="Desktop PC",
"Lenovo",
IF(B271="Tablet",
"Samsung",
IF(B271="Headphone",
"Sony",
IF(B271="Camera",
"Sony",
IF(B271="Printer",
"HP",
IF(B271="External Hard Disk",
"Western Digital",
"Other")))))))))</f>
        <v>Lenovo</v>
      </c>
      <c r="E271" t="str">
        <f t="shared" si="17"/>
        <v>Savex Technologies</v>
      </c>
      <c r="F271">
        <f t="shared" si="18"/>
        <v>45000</v>
      </c>
      <c r="G271">
        <f t="shared" si="19"/>
        <v>49500.000000000007</v>
      </c>
    </row>
    <row r="272" spans="1:7" x14ac:dyDescent="0.25">
      <c r="A272" t="s">
        <v>271</v>
      </c>
      <c r="B272" t="s">
        <v>1007</v>
      </c>
      <c r="C272" t="str">
        <f t="shared" si="16"/>
        <v>Mobile and Wearables</v>
      </c>
      <c r="D272" t="str">
        <f>IF(B272="Smartphone",D273,
IF(B272="Smartwatch",
"Apple",
IF(B272="Laptop",
" Apple",
IF(B272="Desktop PC",
"Lenovo",
IF(B272="Tablet",
"Samsung",
IF(B272="Headphone",
"Sony",
IF(B272="Camera",
"Sony",
IF(B272="Printer",
"HP",
IF(B272="External Hard Disk",
"Western Digital",
"Other")))))))))</f>
        <v>Lenovo</v>
      </c>
      <c r="E272" t="str">
        <f t="shared" si="17"/>
        <v>Savex Technologies</v>
      </c>
      <c r="F272">
        <f t="shared" si="18"/>
        <v>45000</v>
      </c>
      <c r="G272">
        <f t="shared" si="19"/>
        <v>49500.000000000007</v>
      </c>
    </row>
    <row r="273" spans="1:7" x14ac:dyDescent="0.25">
      <c r="A273" t="s">
        <v>272</v>
      </c>
      <c r="B273" t="s">
        <v>1007</v>
      </c>
      <c r="C273" t="str">
        <f t="shared" si="16"/>
        <v>Mobile and Wearables</v>
      </c>
      <c r="D273" t="str">
        <f>IF(B273="Smartphone",D274,
IF(B273="Smartwatch",
"Apple",
IF(B273="Laptop",
" Apple",
IF(B273="Desktop PC",
"Lenovo",
IF(B273="Tablet",
"Samsung",
IF(B273="Headphone",
"Sony",
IF(B273="Camera",
"Sony",
IF(B273="Printer",
"HP",
IF(B273="External Hard Disk",
"Western Digital",
"Other")))))))))</f>
        <v>Lenovo</v>
      </c>
      <c r="E273" t="str">
        <f t="shared" si="17"/>
        <v>Savex Technologies</v>
      </c>
      <c r="F273">
        <f t="shared" si="18"/>
        <v>45000</v>
      </c>
      <c r="G273">
        <f t="shared" si="19"/>
        <v>49500.000000000007</v>
      </c>
    </row>
    <row r="274" spans="1:7" x14ac:dyDescent="0.25">
      <c r="A274" t="s">
        <v>273</v>
      </c>
      <c r="B274" t="s">
        <v>1002</v>
      </c>
      <c r="C274" t="str">
        <f t="shared" si="16"/>
        <v>Electronics (Computing Devices)</v>
      </c>
      <c r="D274" t="str">
        <f>IF(B274="Smartphone",D275,
IF(B274="Smartwatch",
"Apple",
IF(B274="Laptop",
" Apple",
IF(B274="Desktop PC",
"Lenovo",
IF(B274="Tablet",
"Samsung",
IF(B274="Headphone",
"Sony",
IF(B274="Camera",
"Sony",
IF(B274="Printer",
"HP",
IF(B274="External Hard Disk",
"Western Digital",
"Other")))))))))</f>
        <v>Lenovo</v>
      </c>
      <c r="E274" t="str">
        <f t="shared" si="17"/>
        <v>Savex Technologies</v>
      </c>
      <c r="F274">
        <f t="shared" si="18"/>
        <v>45000</v>
      </c>
      <c r="G274">
        <f t="shared" si="19"/>
        <v>49500.000000000007</v>
      </c>
    </row>
    <row r="275" spans="1:7" x14ac:dyDescent="0.25">
      <c r="A275" t="s">
        <v>274</v>
      </c>
      <c r="B275" t="s">
        <v>1007</v>
      </c>
      <c r="C275" t="str">
        <f t="shared" si="16"/>
        <v>Mobile and Wearables</v>
      </c>
      <c r="D275" t="str">
        <f>IF(B275="Smartphone",D276,
IF(B275="Smartwatch",
"Apple",
IF(B275="Laptop",
" Apple",
IF(B275="Desktop PC",
"Lenovo",
IF(B275="Tablet",
"Samsung",
IF(B275="Headphone",
"Sony",
IF(B275="Camera",
"Sony",
IF(B275="Printer",
"HP",
IF(B275="External Hard Disk",
"Western Digital",
"Other")))))))))</f>
        <v>Samsung</v>
      </c>
      <c r="E275" t="str">
        <f t="shared" si="17"/>
        <v>Rashi Peripherals</v>
      </c>
      <c r="F275">
        <f t="shared" si="18"/>
        <v>30000</v>
      </c>
      <c r="G275">
        <f t="shared" si="19"/>
        <v>33000</v>
      </c>
    </row>
    <row r="276" spans="1:7" x14ac:dyDescent="0.25">
      <c r="A276" t="s">
        <v>275</v>
      </c>
      <c r="B276" t="s">
        <v>1005</v>
      </c>
      <c r="C276" t="str">
        <f t="shared" si="16"/>
        <v>Electronics (Computing Devices)</v>
      </c>
      <c r="D276" t="str">
        <f>IF(B276="Smartphone",D277,
IF(B276="Smartwatch",
"Apple",
IF(B276="Laptop",
" Apple",
IF(B276="Desktop PC",
"Lenovo",
IF(B276="Tablet",
"Samsung",
IF(B276="Headphone",
"Sony",
IF(B276="Camera",
"Sony",
IF(B276="Printer",
"HP",
IF(B276="External Hard Disk",
"Western Digital",
"Other")))))))))</f>
        <v>Samsung</v>
      </c>
      <c r="E276" t="str">
        <f t="shared" si="17"/>
        <v>Rashi Peripherals</v>
      </c>
      <c r="F276">
        <f t="shared" si="18"/>
        <v>30000</v>
      </c>
      <c r="G276">
        <f t="shared" si="19"/>
        <v>33000</v>
      </c>
    </row>
    <row r="277" spans="1:7" x14ac:dyDescent="0.25">
      <c r="A277" t="s">
        <v>276</v>
      </c>
      <c r="B277" t="s">
        <v>1002</v>
      </c>
      <c r="C277" t="str">
        <f t="shared" si="16"/>
        <v>Electronics (Computing Devices)</v>
      </c>
      <c r="D277" t="str">
        <f>IF(B277="Smartphone",D278,
IF(B277="Smartwatch",
"Apple",
IF(B277="Laptop",
" Apple",
IF(B277="Desktop PC",
"Lenovo",
IF(B277="Tablet",
"Samsung",
IF(B277="Headphone",
"Sony",
IF(B277="Camera",
"Sony",
IF(B277="Printer",
"HP",
IF(B277="External Hard Disk",
"Western Digital",
"Other")))))))))</f>
        <v>Lenovo</v>
      </c>
      <c r="E277" t="str">
        <f t="shared" si="17"/>
        <v>Savex Technologies</v>
      </c>
      <c r="F277">
        <f t="shared" si="18"/>
        <v>45000</v>
      </c>
      <c r="G277">
        <f t="shared" si="19"/>
        <v>49500.000000000007</v>
      </c>
    </row>
    <row r="278" spans="1:7" x14ac:dyDescent="0.25">
      <c r="A278" t="s">
        <v>277</v>
      </c>
      <c r="B278" t="s">
        <v>1002</v>
      </c>
      <c r="C278" t="str">
        <f t="shared" si="16"/>
        <v>Electronics (Computing Devices)</v>
      </c>
      <c r="D278" t="str">
        <f>IF(B278="Smartphone",D279,
IF(B278="Smartwatch",
"Apple",
IF(B278="Laptop",
" Apple",
IF(B278="Desktop PC",
"Lenovo",
IF(B278="Tablet",
"Samsung",
IF(B278="Headphone",
"Sony",
IF(B278="Camera",
"Sony",
IF(B278="Printer",
"HP",
IF(B278="External Hard Disk",
"Western Digital",
"Other")))))))))</f>
        <v>Lenovo</v>
      </c>
      <c r="E278" t="str">
        <f t="shared" si="17"/>
        <v>Savex Technologies</v>
      </c>
      <c r="F278">
        <f t="shared" si="18"/>
        <v>45000</v>
      </c>
      <c r="G278">
        <f t="shared" si="19"/>
        <v>49500.000000000007</v>
      </c>
    </row>
    <row r="279" spans="1:7" x14ac:dyDescent="0.25">
      <c r="A279" t="s">
        <v>278</v>
      </c>
      <c r="B279" t="s">
        <v>1005</v>
      </c>
      <c r="C279" t="str">
        <f t="shared" si="16"/>
        <v>Electronics (Computing Devices)</v>
      </c>
      <c r="D279" t="str">
        <f>IF(B279="Smartphone",D280,
IF(B279="Smartwatch",
"Apple",
IF(B279="Laptop",
" Apple",
IF(B279="Desktop PC",
"Lenovo",
IF(B279="Tablet",
"Samsung",
IF(B279="Headphone",
"Sony",
IF(B279="Camera",
"Sony",
IF(B279="Printer",
"HP",
IF(B279="External Hard Disk",
"Western Digital",
"Other")))))))))</f>
        <v>Samsung</v>
      </c>
      <c r="E279" t="str">
        <f t="shared" si="17"/>
        <v>Rashi Peripherals</v>
      </c>
      <c r="F279">
        <f t="shared" si="18"/>
        <v>30000</v>
      </c>
      <c r="G279">
        <f t="shared" si="19"/>
        <v>33000</v>
      </c>
    </row>
    <row r="280" spans="1:7" x14ac:dyDescent="0.25">
      <c r="A280" t="s">
        <v>279</v>
      </c>
      <c r="B280" t="s">
        <v>1010</v>
      </c>
      <c r="C280" t="str">
        <f t="shared" si="16"/>
        <v>Office Equipments</v>
      </c>
      <c r="D280" t="str">
        <f>IF(B280="Smartphone",D281,
IF(B280="Smartwatch",
"Apple",
IF(B280="Laptop",
" Apple",
IF(B280="Desktop PC",
"Lenovo",
IF(B280="Tablet",
"Samsung",
IF(B280="Headphone",
"Sony",
IF(B280="Camera",
"Sony",
IF(B280="Printer",
"HP",
IF(B280="External Hard Disk",
"Western Digital",
"Other")))))))))</f>
        <v>Sony</v>
      </c>
      <c r="E280" t="str">
        <f t="shared" si="17"/>
        <v>Supertron Electronics</v>
      </c>
      <c r="F280">
        <f t="shared" si="18"/>
        <v>60000</v>
      </c>
      <c r="G280">
        <f t="shared" si="19"/>
        <v>66000</v>
      </c>
    </row>
    <row r="281" spans="1:7" x14ac:dyDescent="0.25">
      <c r="A281" t="s">
        <v>280</v>
      </c>
      <c r="B281" t="s">
        <v>1012</v>
      </c>
      <c r="C281" t="str">
        <f t="shared" si="16"/>
        <v>Audio Devices</v>
      </c>
      <c r="D281" t="str">
        <f>IF(B281="Smartphone",D282,
IF(B281="Smartwatch",
"Apple",
IF(B281="Laptop",
" Apple",
IF(B281="Desktop PC",
"Lenovo",
IF(B281="Tablet",
"Samsung",
IF(B281="Headphone",
"Sony",
IF(B281="Camera",
"Sony",
IF(B281="Printer",
"HP",
IF(B281="External Hard Disk",
"Western Digital",
"Other")))))))))</f>
        <v>Sony</v>
      </c>
      <c r="E281" t="str">
        <f t="shared" si="17"/>
        <v>Supertron Electronics</v>
      </c>
      <c r="F281">
        <f t="shared" si="18"/>
        <v>60000</v>
      </c>
      <c r="G281">
        <f t="shared" si="19"/>
        <v>66000</v>
      </c>
    </row>
    <row r="282" spans="1:7" x14ac:dyDescent="0.25">
      <c r="A282" t="s">
        <v>281</v>
      </c>
      <c r="B282" t="s">
        <v>1001</v>
      </c>
      <c r="C282" t="str">
        <f t="shared" si="16"/>
        <v>Mobile and Wearables</v>
      </c>
      <c r="D282" t="str">
        <f>IF(B282="Smartphone",D283,
IF(B282="Smartwatch",
"Apple",
IF(B282="Laptop",
" Apple",
IF(B282="Desktop PC",
"Lenovo",
IF(B282="Tablet",
"Samsung",
IF(B282="Headphone",
"Sony",
IF(B282="Camera",
"Sony",
IF(B282="Printer",
"HP",
IF(B282="External Hard Disk",
"Western Digital",
"Other")))))))))</f>
        <v>Apple</v>
      </c>
      <c r="E282" t="str">
        <f t="shared" si="17"/>
        <v>Redington India</v>
      </c>
      <c r="F282">
        <f t="shared" si="18"/>
        <v>40000</v>
      </c>
      <c r="G282">
        <f t="shared" si="19"/>
        <v>44000</v>
      </c>
    </row>
    <row r="283" spans="1:7" x14ac:dyDescent="0.25">
      <c r="A283" t="s">
        <v>282</v>
      </c>
      <c r="B283" t="s">
        <v>1001</v>
      </c>
      <c r="C283" t="str">
        <f t="shared" si="16"/>
        <v>Mobile and Wearables</v>
      </c>
      <c r="D283" t="str">
        <f>IF(B283="Smartphone",D284,
IF(B283="Smartwatch",
"Apple",
IF(B283="Laptop",
" Apple",
IF(B283="Desktop PC",
"Lenovo",
IF(B283="Tablet",
"Samsung",
IF(B283="Headphone",
"Sony",
IF(B283="Camera",
"Sony",
IF(B283="Printer",
"HP",
IF(B283="External Hard Disk",
"Western Digital",
"Other")))))))))</f>
        <v>Apple</v>
      </c>
      <c r="E283" t="str">
        <f t="shared" si="17"/>
        <v>Redington India</v>
      </c>
      <c r="F283">
        <f t="shared" si="18"/>
        <v>40000</v>
      </c>
      <c r="G283">
        <f t="shared" si="19"/>
        <v>44000</v>
      </c>
    </row>
    <row r="284" spans="1:7" x14ac:dyDescent="0.25">
      <c r="A284" t="s">
        <v>283</v>
      </c>
      <c r="B284" t="s">
        <v>1004</v>
      </c>
      <c r="C284" t="str">
        <f t="shared" si="16"/>
        <v>Electronics (Computing Devices)</v>
      </c>
      <c r="D284" t="str">
        <f>IF(B284="Smartphone",D285,
IF(B284="Smartwatch",
"Apple",
IF(B284="Laptop",
" Apple",
IF(B284="Desktop PC",
"Lenovo",
IF(B284="Tablet",
"Samsung",
IF(B284="Headphone",
"Sony",
IF(B284="Camera",
"Sony",
IF(B284="Printer",
"HP",
IF(B284="External Hard Disk",
"Western Digital",
"Other")))))))))</f>
        <v xml:space="preserve"> Apple</v>
      </c>
      <c r="E284" t="str">
        <f t="shared" si="17"/>
        <v>Ingram Micron India</v>
      </c>
      <c r="F284">
        <f t="shared" si="18"/>
        <v>35000</v>
      </c>
      <c r="G284">
        <f t="shared" si="19"/>
        <v>38500</v>
      </c>
    </row>
    <row r="285" spans="1:7" x14ac:dyDescent="0.25">
      <c r="A285" t="s">
        <v>284</v>
      </c>
      <c r="B285" t="s">
        <v>1007</v>
      </c>
      <c r="C285" t="str">
        <f t="shared" si="16"/>
        <v>Mobile and Wearables</v>
      </c>
      <c r="D285" t="str">
        <f>IF(B285="Smartphone",D286,
IF(B285="Smartwatch",
"Apple",
IF(B285="Laptop",
" Apple",
IF(B285="Desktop PC",
"Lenovo",
IF(B285="Tablet",
"Samsung",
IF(B285="Headphone",
"Sony",
IF(B285="Camera",
"Sony",
IF(B285="Printer",
"HP",
IF(B285="External Hard Disk",
"Western Digital",
"Other")))))))))</f>
        <v>Western Digital</v>
      </c>
      <c r="E285" t="str">
        <f t="shared" si="17"/>
        <v>Ingram Micron India</v>
      </c>
      <c r="F285">
        <f t="shared" si="18"/>
        <v>35000</v>
      </c>
      <c r="G285">
        <f t="shared" si="19"/>
        <v>38500</v>
      </c>
    </row>
    <row r="286" spans="1:7" x14ac:dyDescent="0.25">
      <c r="A286" t="s">
        <v>285</v>
      </c>
      <c r="B286" t="s">
        <v>1007</v>
      </c>
      <c r="C286" t="str">
        <f t="shared" si="16"/>
        <v>Mobile and Wearables</v>
      </c>
      <c r="D286" t="str">
        <f>IF(B286="Smartphone",D287,
IF(B286="Smartwatch",
"Apple",
IF(B286="Laptop",
" Apple",
IF(B286="Desktop PC",
"Lenovo",
IF(B286="Tablet",
"Samsung",
IF(B286="Headphone",
"Sony",
IF(B286="Camera",
"Sony",
IF(B286="Printer",
"HP",
IF(B286="External Hard Disk",
"Western Digital",
"Other")))))))))</f>
        <v>Western Digital</v>
      </c>
      <c r="E286" t="str">
        <f t="shared" si="17"/>
        <v>Ingram Micron India</v>
      </c>
      <c r="F286">
        <f t="shared" si="18"/>
        <v>35000</v>
      </c>
      <c r="G286">
        <f t="shared" si="19"/>
        <v>38500</v>
      </c>
    </row>
    <row r="287" spans="1:7" x14ac:dyDescent="0.25">
      <c r="A287" t="s">
        <v>286</v>
      </c>
      <c r="B287" t="s">
        <v>1013</v>
      </c>
      <c r="C287" t="str">
        <f t="shared" si="16"/>
        <v>Storage Devices</v>
      </c>
      <c r="D287" t="str">
        <f>IF(B287="Smartphone",D288,
IF(B287="Smartwatch",
"Apple",
IF(B287="Laptop",
" Apple",
IF(B287="Desktop PC",
"Lenovo",
IF(B287="Tablet",
"Samsung",
IF(B287="Headphone",
"Sony",
IF(B287="Camera",
"Sony",
IF(B287="Printer",
"HP",
IF(B287="External Hard Disk",
"Western Digital",
"Other")))))))))</f>
        <v>Western Digital</v>
      </c>
      <c r="E287" t="str">
        <f t="shared" si="17"/>
        <v>Ingram Micron India</v>
      </c>
      <c r="F287">
        <f t="shared" si="18"/>
        <v>35000</v>
      </c>
      <c r="G287">
        <f t="shared" si="19"/>
        <v>38500</v>
      </c>
    </row>
    <row r="288" spans="1:7" x14ac:dyDescent="0.25">
      <c r="A288" t="s">
        <v>287</v>
      </c>
      <c r="B288" t="s">
        <v>1003</v>
      </c>
      <c r="C288" t="str">
        <f t="shared" si="16"/>
        <v>Electronics (Computing Devices)</v>
      </c>
      <c r="D288" t="str">
        <f>IF(B288="Smartphone",D289,
IF(B288="Smartwatch",
"Apple",
IF(B288="Laptop",
" Apple",
IF(B288="Desktop PC",
"Lenovo",
IF(B288="Tablet",
"Samsung",
IF(B288="Headphone",
"Sony",
IF(B288="Camera",
"Sony",
IF(B288="Printer",
"HP",
IF(B288="External Hard Disk",
"Western Digital",
"Other")))))))))</f>
        <v>Other</v>
      </c>
      <c r="E288" t="str">
        <f t="shared" si="17"/>
        <v>Ingram Micron India</v>
      </c>
      <c r="F288">
        <f t="shared" si="18"/>
        <v>35000</v>
      </c>
      <c r="G288">
        <f t="shared" si="19"/>
        <v>38500</v>
      </c>
    </row>
    <row r="289" spans="1:7" x14ac:dyDescent="0.25">
      <c r="A289" t="s">
        <v>288</v>
      </c>
      <c r="B289" t="s">
        <v>1003</v>
      </c>
      <c r="C289" t="str">
        <f t="shared" si="16"/>
        <v>Electronics (Computing Devices)</v>
      </c>
      <c r="D289" t="str">
        <f>IF(B289="Smartphone",D290,
IF(B289="Smartwatch",
"Apple",
IF(B289="Laptop",
" Apple",
IF(B289="Desktop PC",
"Lenovo",
IF(B289="Tablet",
"Samsung",
IF(B289="Headphone",
"Sony",
IF(B289="Camera",
"Sony",
IF(B289="Printer",
"HP",
IF(B289="External Hard Disk",
"Western Digital",
"Other")))))))))</f>
        <v>Other</v>
      </c>
      <c r="E289" t="str">
        <f t="shared" si="17"/>
        <v>Ingram Micron India</v>
      </c>
      <c r="F289">
        <f t="shared" si="18"/>
        <v>35000</v>
      </c>
      <c r="G289">
        <f t="shared" si="19"/>
        <v>38500</v>
      </c>
    </row>
    <row r="290" spans="1:7" x14ac:dyDescent="0.25">
      <c r="A290" t="s">
        <v>289</v>
      </c>
      <c r="B290" t="s">
        <v>1005</v>
      </c>
      <c r="C290" t="str">
        <f t="shared" si="16"/>
        <v>Electronics (Computing Devices)</v>
      </c>
      <c r="D290" t="str">
        <f>IF(B290="Smartphone",D291,
IF(B290="Smartwatch",
"Apple",
IF(B290="Laptop",
" Apple",
IF(B290="Desktop PC",
"Lenovo",
IF(B290="Tablet",
"Samsung",
IF(B290="Headphone",
"Sony",
IF(B290="Camera",
"Sony",
IF(B290="Printer",
"HP",
IF(B290="External Hard Disk",
"Western Digital",
"Other")))))))))</f>
        <v>Samsung</v>
      </c>
      <c r="E290" t="str">
        <f t="shared" si="17"/>
        <v>Rashi Peripherals</v>
      </c>
      <c r="F290">
        <f t="shared" si="18"/>
        <v>30000</v>
      </c>
      <c r="G290">
        <f t="shared" si="19"/>
        <v>33000</v>
      </c>
    </row>
    <row r="291" spans="1:7" x14ac:dyDescent="0.25">
      <c r="A291" t="s">
        <v>290</v>
      </c>
      <c r="B291" t="s">
        <v>1004</v>
      </c>
      <c r="C291" t="str">
        <f t="shared" si="16"/>
        <v>Electronics (Computing Devices)</v>
      </c>
      <c r="D291" t="str">
        <f>IF(B291="Smartphone",D292,
IF(B291="Smartwatch",
"Apple",
IF(B291="Laptop",
" Apple",
IF(B291="Desktop PC",
"Lenovo",
IF(B291="Tablet",
"Samsung",
IF(B291="Headphone",
"Sony",
IF(B291="Camera",
"Sony",
IF(B291="Printer",
"HP",
IF(B291="External Hard Disk",
"Western Digital",
"Other")))))))))</f>
        <v xml:space="preserve"> Apple</v>
      </c>
      <c r="E291" t="str">
        <f t="shared" si="17"/>
        <v>Ingram Micron India</v>
      </c>
      <c r="F291">
        <f t="shared" si="18"/>
        <v>35000</v>
      </c>
      <c r="G291">
        <f t="shared" si="19"/>
        <v>38500</v>
      </c>
    </row>
    <row r="292" spans="1:7" x14ac:dyDescent="0.25">
      <c r="A292" t="s">
        <v>291</v>
      </c>
      <c r="B292" t="s">
        <v>1009</v>
      </c>
      <c r="C292" t="str">
        <f t="shared" si="16"/>
        <v>Office Equipments</v>
      </c>
      <c r="D292" t="str">
        <f>IF(B292="Smartphone",D293,
IF(B292="Smartwatch",
"Apple",
IF(B292="Laptop",
" Apple",
IF(B292="Desktop PC",
"Lenovo",
IF(B292="Tablet",
"Samsung",
IF(B292="Headphone",
"Sony",
IF(B292="Camera",
"Sony",
IF(B292="Printer",
"HP",
IF(B292="External Hard Disk",
"Western Digital",
"Other")))))))))</f>
        <v>HP</v>
      </c>
      <c r="E292" t="str">
        <f t="shared" si="17"/>
        <v>Savex Technologies</v>
      </c>
      <c r="F292">
        <f t="shared" si="18"/>
        <v>40000</v>
      </c>
      <c r="G292">
        <f t="shared" si="19"/>
        <v>44000</v>
      </c>
    </row>
    <row r="293" spans="1:7" x14ac:dyDescent="0.25">
      <c r="A293" t="s">
        <v>292</v>
      </c>
      <c r="B293" t="s">
        <v>1007</v>
      </c>
      <c r="C293" t="str">
        <f t="shared" si="16"/>
        <v>Mobile and Wearables</v>
      </c>
      <c r="D293" t="str">
        <f>IF(B293="Smartphone",D294,
IF(B293="Smartwatch",
"Apple",
IF(B293="Laptop",
" Apple",
IF(B293="Desktop PC",
"Lenovo",
IF(B293="Tablet",
"Samsung",
IF(B293="Headphone",
"Sony",
IF(B293="Camera",
"Sony",
IF(B293="Printer",
"HP",
IF(B293="External Hard Disk",
"Western Digital",
"Other")))))))))</f>
        <v>Sony</v>
      </c>
      <c r="E293" t="str">
        <f t="shared" si="17"/>
        <v>Supertron Electronics</v>
      </c>
      <c r="F293">
        <f t="shared" si="18"/>
        <v>60000</v>
      </c>
      <c r="G293">
        <f t="shared" si="19"/>
        <v>66000</v>
      </c>
    </row>
    <row r="294" spans="1:7" x14ac:dyDescent="0.25">
      <c r="A294" t="s">
        <v>293</v>
      </c>
      <c r="B294" t="s">
        <v>1010</v>
      </c>
      <c r="C294" t="str">
        <f t="shared" si="16"/>
        <v>Office Equipments</v>
      </c>
      <c r="D294" t="str">
        <f>IF(B294="Smartphone",D295,
IF(B294="Smartwatch",
"Apple",
IF(B294="Laptop",
" Apple",
IF(B294="Desktop PC",
"Lenovo",
IF(B294="Tablet",
"Samsung",
IF(B294="Headphone",
"Sony",
IF(B294="Camera",
"Sony",
IF(B294="Printer",
"HP",
IF(B294="External Hard Disk",
"Western Digital",
"Other")))))))))</f>
        <v>Sony</v>
      </c>
      <c r="E294" t="str">
        <f t="shared" si="17"/>
        <v>Supertron Electronics</v>
      </c>
      <c r="F294">
        <f t="shared" si="18"/>
        <v>60000</v>
      </c>
      <c r="G294">
        <f t="shared" si="19"/>
        <v>66000</v>
      </c>
    </row>
    <row r="295" spans="1:7" x14ac:dyDescent="0.25">
      <c r="A295" t="s">
        <v>294</v>
      </c>
      <c r="B295" t="s">
        <v>1010</v>
      </c>
      <c r="C295" t="str">
        <f t="shared" si="16"/>
        <v>Office Equipments</v>
      </c>
      <c r="D295" t="str">
        <f>IF(B295="Smartphone",D296,
IF(B295="Smartwatch",
"Apple",
IF(B295="Laptop",
" Apple",
IF(B295="Desktop PC",
"Lenovo",
IF(B295="Tablet",
"Samsung",
IF(B295="Headphone",
"Sony",
IF(B295="Camera",
"Sony",
IF(B295="Printer",
"HP",
IF(B295="External Hard Disk",
"Western Digital",
"Other")))))))))</f>
        <v>Sony</v>
      </c>
      <c r="E295" t="str">
        <f t="shared" si="17"/>
        <v>Supertron Electronics</v>
      </c>
      <c r="F295">
        <f t="shared" si="18"/>
        <v>60000</v>
      </c>
      <c r="G295">
        <f t="shared" si="19"/>
        <v>66000</v>
      </c>
    </row>
    <row r="296" spans="1:7" x14ac:dyDescent="0.25">
      <c r="A296" t="s">
        <v>295</v>
      </c>
      <c r="B296" t="s">
        <v>1013</v>
      </c>
      <c r="C296" t="str">
        <f t="shared" si="16"/>
        <v>Storage Devices</v>
      </c>
      <c r="D296" t="str">
        <f>IF(B296="Smartphone",D297,
IF(B296="Smartwatch",
"Apple",
IF(B296="Laptop",
" Apple",
IF(B296="Desktop PC",
"Lenovo",
IF(B296="Tablet",
"Samsung",
IF(B296="Headphone",
"Sony",
IF(B296="Camera",
"Sony",
IF(B296="Printer",
"HP",
IF(B296="External Hard Disk",
"Western Digital",
"Other")))))))))</f>
        <v>Western Digital</v>
      </c>
      <c r="E296" t="str">
        <f t="shared" si="17"/>
        <v>Ingram Micron India</v>
      </c>
      <c r="F296">
        <f t="shared" si="18"/>
        <v>35000</v>
      </c>
      <c r="G296">
        <f t="shared" si="19"/>
        <v>38500</v>
      </c>
    </row>
    <row r="297" spans="1:7" x14ac:dyDescent="0.25">
      <c r="A297" t="s">
        <v>296</v>
      </c>
      <c r="B297" t="s">
        <v>1012</v>
      </c>
      <c r="C297" t="str">
        <f t="shared" si="16"/>
        <v>Audio Devices</v>
      </c>
      <c r="D297" t="str">
        <f>IF(B297="Smartphone",D298,
IF(B297="Smartwatch",
"Apple",
IF(B297="Laptop",
" Apple",
IF(B297="Desktop PC",
"Lenovo",
IF(B297="Tablet",
"Samsung",
IF(B297="Headphone",
"Sony",
IF(B297="Camera",
"Sony",
IF(B297="Printer",
"HP",
IF(B297="External Hard Disk",
"Western Digital",
"Other")))))))))</f>
        <v>Sony</v>
      </c>
      <c r="E297" t="str">
        <f t="shared" si="17"/>
        <v>Supertron Electronics</v>
      </c>
      <c r="F297">
        <f t="shared" si="18"/>
        <v>60000</v>
      </c>
      <c r="G297">
        <f t="shared" si="19"/>
        <v>66000</v>
      </c>
    </row>
    <row r="298" spans="1:7" x14ac:dyDescent="0.25">
      <c r="A298" t="s">
        <v>297</v>
      </c>
      <c r="B298" t="s">
        <v>1004</v>
      </c>
      <c r="C298" t="str">
        <f t="shared" si="16"/>
        <v>Electronics (Computing Devices)</v>
      </c>
      <c r="D298" t="str">
        <f>IF(B298="Smartphone",D299,
IF(B298="Smartwatch",
"Apple",
IF(B298="Laptop",
" Apple",
IF(B298="Desktop PC",
"Lenovo",
IF(B298="Tablet",
"Samsung",
IF(B298="Headphone",
"Sony",
IF(B298="Camera",
"Sony",
IF(B298="Printer",
"HP",
IF(B298="External Hard Disk",
"Western Digital",
"Other")))))))))</f>
        <v xml:space="preserve"> Apple</v>
      </c>
      <c r="E298" t="str">
        <f t="shared" si="17"/>
        <v>Ingram Micron India</v>
      </c>
      <c r="F298">
        <f t="shared" si="18"/>
        <v>35000</v>
      </c>
      <c r="G298">
        <f t="shared" si="19"/>
        <v>38500</v>
      </c>
    </row>
    <row r="299" spans="1:7" x14ac:dyDescent="0.25">
      <c r="A299" t="s">
        <v>298</v>
      </c>
      <c r="B299" t="s">
        <v>1009</v>
      </c>
      <c r="C299" t="str">
        <f t="shared" si="16"/>
        <v>Office Equipments</v>
      </c>
      <c r="D299" t="str">
        <f>IF(B299="Smartphone",D300,
IF(B299="Smartwatch",
"Apple",
IF(B299="Laptop",
" Apple",
IF(B299="Desktop PC",
"Lenovo",
IF(B299="Tablet",
"Samsung",
IF(B299="Headphone",
"Sony",
IF(B299="Camera",
"Sony",
IF(B299="Printer",
"HP",
IF(B299="External Hard Disk",
"Western Digital",
"Other")))))))))</f>
        <v>HP</v>
      </c>
      <c r="E299" t="str">
        <f t="shared" si="17"/>
        <v>Savex Technologies</v>
      </c>
      <c r="F299">
        <f t="shared" si="18"/>
        <v>40000</v>
      </c>
      <c r="G299">
        <f t="shared" si="19"/>
        <v>44000</v>
      </c>
    </row>
    <row r="300" spans="1:7" x14ac:dyDescent="0.25">
      <c r="A300" t="s">
        <v>299</v>
      </c>
      <c r="B300" t="s">
        <v>1007</v>
      </c>
      <c r="C300" t="str">
        <f t="shared" si="16"/>
        <v>Mobile and Wearables</v>
      </c>
      <c r="D300" t="str">
        <f>IF(B300="Smartphone",D301,
IF(B300="Smartwatch",
"Apple",
IF(B300="Laptop",
" Apple",
IF(B300="Desktop PC",
"Lenovo",
IF(B300="Tablet",
"Samsung",
IF(B300="Headphone",
"Sony",
IF(B300="Camera",
"Sony",
IF(B300="Printer",
"HP",
IF(B300="External Hard Disk",
"Western Digital",
"Other")))))))))</f>
        <v>Other</v>
      </c>
      <c r="E300" t="str">
        <f t="shared" si="17"/>
        <v>Ingram Micron India</v>
      </c>
      <c r="F300">
        <f t="shared" si="18"/>
        <v>35000</v>
      </c>
      <c r="G300">
        <f t="shared" si="19"/>
        <v>38500</v>
      </c>
    </row>
    <row r="301" spans="1:7" x14ac:dyDescent="0.25">
      <c r="A301" t="s">
        <v>300</v>
      </c>
      <c r="B301" t="s">
        <v>1003</v>
      </c>
      <c r="C301" t="str">
        <f t="shared" si="16"/>
        <v>Electronics (Computing Devices)</v>
      </c>
      <c r="D301" t="str">
        <f>IF(B301="Smartphone",D302,
IF(B301="Smartwatch",
"Apple",
IF(B301="Laptop",
" Apple",
IF(B301="Desktop PC",
"Lenovo",
IF(B301="Tablet",
"Samsung",
IF(B301="Headphone",
"Sony",
IF(B301="Camera",
"Sony",
IF(B301="Printer",
"HP",
IF(B301="External Hard Disk",
"Western Digital",
"Other")))))))))</f>
        <v>Other</v>
      </c>
      <c r="E301" t="str">
        <f t="shared" si="17"/>
        <v>Ingram Micron India</v>
      </c>
      <c r="F301">
        <f t="shared" si="18"/>
        <v>35000</v>
      </c>
      <c r="G301">
        <f t="shared" si="19"/>
        <v>38500</v>
      </c>
    </row>
    <row r="302" spans="1:7" x14ac:dyDescent="0.25">
      <c r="A302" t="s">
        <v>301</v>
      </c>
      <c r="B302" t="s">
        <v>1004</v>
      </c>
      <c r="C302" t="str">
        <f t="shared" si="16"/>
        <v>Electronics (Computing Devices)</v>
      </c>
      <c r="D302" t="str">
        <f>IF(B302="Smartphone",D303,
IF(B302="Smartwatch",
"Apple",
IF(B302="Laptop",
" Apple",
IF(B302="Desktop PC",
"Lenovo",
IF(B302="Tablet",
"Samsung",
IF(B302="Headphone",
"Sony",
IF(B302="Camera",
"Sony",
IF(B302="Printer",
"HP",
IF(B302="External Hard Disk",
"Western Digital",
"Other")))))))))</f>
        <v xml:space="preserve"> Apple</v>
      </c>
      <c r="E302" t="str">
        <f t="shared" si="17"/>
        <v>Ingram Micron India</v>
      </c>
      <c r="F302">
        <f t="shared" si="18"/>
        <v>35000</v>
      </c>
      <c r="G302">
        <f t="shared" si="19"/>
        <v>38500</v>
      </c>
    </row>
    <row r="303" spans="1:7" x14ac:dyDescent="0.25">
      <c r="A303" t="s">
        <v>302</v>
      </c>
      <c r="B303" t="s">
        <v>1001</v>
      </c>
      <c r="C303" t="str">
        <f t="shared" si="16"/>
        <v>Mobile and Wearables</v>
      </c>
      <c r="D303" t="str">
        <f>IF(B303="Smartphone",D304,
IF(B303="Smartwatch",
"Apple",
IF(B303="Laptop",
" Apple",
IF(B303="Desktop PC",
"Lenovo",
IF(B303="Tablet",
"Samsung",
IF(B303="Headphone",
"Sony",
IF(B303="Camera",
"Sony",
IF(B303="Printer",
"HP",
IF(B303="External Hard Disk",
"Western Digital",
"Other")))))))))</f>
        <v>Apple</v>
      </c>
      <c r="E303" t="str">
        <f t="shared" si="17"/>
        <v>Redington India</v>
      </c>
      <c r="F303">
        <f t="shared" si="18"/>
        <v>40000</v>
      </c>
      <c r="G303">
        <f t="shared" si="19"/>
        <v>44000</v>
      </c>
    </row>
    <row r="304" spans="1:7" x14ac:dyDescent="0.25">
      <c r="A304" t="s">
        <v>303</v>
      </c>
      <c r="B304" t="s">
        <v>1004</v>
      </c>
      <c r="C304" t="str">
        <f t="shared" si="16"/>
        <v>Electronics (Computing Devices)</v>
      </c>
      <c r="D304" t="str">
        <f>IF(B304="Smartphone",D305,
IF(B304="Smartwatch",
"Apple",
IF(B304="Laptop",
" Apple",
IF(B304="Desktop PC",
"Lenovo",
IF(B304="Tablet",
"Samsung",
IF(B304="Headphone",
"Sony",
IF(B304="Camera",
"Sony",
IF(B304="Printer",
"HP",
IF(B304="External Hard Disk",
"Western Digital",
"Other")))))))))</f>
        <v xml:space="preserve"> Apple</v>
      </c>
      <c r="E304" t="str">
        <f t="shared" si="17"/>
        <v>Ingram Micron India</v>
      </c>
      <c r="F304">
        <f t="shared" si="18"/>
        <v>35000</v>
      </c>
      <c r="G304">
        <f t="shared" si="19"/>
        <v>38500</v>
      </c>
    </row>
    <row r="305" spans="1:7" x14ac:dyDescent="0.25">
      <c r="A305" t="s">
        <v>304</v>
      </c>
      <c r="B305" t="s">
        <v>1001</v>
      </c>
      <c r="C305" t="str">
        <f t="shared" si="16"/>
        <v>Mobile and Wearables</v>
      </c>
      <c r="D305" t="str">
        <f>IF(B305="Smartphone",D306,
IF(B305="Smartwatch",
"Apple",
IF(B305="Laptop",
" Apple",
IF(B305="Desktop PC",
"Lenovo",
IF(B305="Tablet",
"Samsung",
IF(B305="Headphone",
"Sony",
IF(B305="Camera",
"Sony",
IF(B305="Printer",
"HP",
IF(B305="External Hard Disk",
"Western Digital",
"Other")))))))))</f>
        <v>Apple</v>
      </c>
      <c r="E305" t="str">
        <f t="shared" si="17"/>
        <v>Redington India</v>
      </c>
      <c r="F305">
        <f t="shared" si="18"/>
        <v>40000</v>
      </c>
      <c r="G305">
        <f t="shared" si="19"/>
        <v>44000</v>
      </c>
    </row>
    <row r="306" spans="1:7" x14ac:dyDescent="0.25">
      <c r="A306" t="s">
        <v>305</v>
      </c>
      <c r="B306" t="s">
        <v>1005</v>
      </c>
      <c r="C306" t="str">
        <f t="shared" si="16"/>
        <v>Electronics (Computing Devices)</v>
      </c>
      <c r="D306" t="str">
        <f>IF(B306="Smartphone",D307,
IF(B306="Smartwatch",
"Apple",
IF(B306="Laptop",
" Apple",
IF(B306="Desktop PC",
"Lenovo",
IF(B306="Tablet",
"Samsung",
IF(B306="Headphone",
"Sony",
IF(B306="Camera",
"Sony",
IF(B306="Printer",
"HP",
IF(B306="External Hard Disk",
"Western Digital",
"Other")))))))))</f>
        <v>Samsung</v>
      </c>
      <c r="E306" t="str">
        <f t="shared" si="17"/>
        <v>Rashi Peripherals</v>
      </c>
      <c r="F306">
        <f t="shared" si="18"/>
        <v>30000</v>
      </c>
      <c r="G306">
        <f t="shared" si="19"/>
        <v>33000</v>
      </c>
    </row>
    <row r="307" spans="1:7" x14ac:dyDescent="0.25">
      <c r="A307" t="s">
        <v>306</v>
      </c>
      <c r="B307" t="s">
        <v>1012</v>
      </c>
      <c r="C307" t="str">
        <f t="shared" si="16"/>
        <v>Audio Devices</v>
      </c>
      <c r="D307" t="str">
        <f>IF(B307="Smartphone",D308,
IF(B307="Smartwatch",
"Apple",
IF(B307="Laptop",
" Apple",
IF(B307="Desktop PC",
"Lenovo",
IF(B307="Tablet",
"Samsung",
IF(B307="Headphone",
"Sony",
IF(B307="Camera",
"Sony",
IF(B307="Printer",
"HP",
IF(B307="External Hard Disk",
"Western Digital",
"Other")))))))))</f>
        <v>Sony</v>
      </c>
      <c r="E307" t="str">
        <f t="shared" si="17"/>
        <v>Supertron Electronics</v>
      </c>
      <c r="F307">
        <f t="shared" si="18"/>
        <v>60000</v>
      </c>
      <c r="G307">
        <f t="shared" si="19"/>
        <v>66000</v>
      </c>
    </row>
    <row r="308" spans="1:7" x14ac:dyDescent="0.25">
      <c r="A308" t="s">
        <v>307</v>
      </c>
      <c r="B308" t="s">
        <v>1010</v>
      </c>
      <c r="C308" t="str">
        <f t="shared" si="16"/>
        <v>Office Equipments</v>
      </c>
      <c r="D308" t="str">
        <f>IF(B308="Smartphone",D309,
IF(B308="Smartwatch",
"Apple",
IF(B308="Laptop",
" Apple",
IF(B308="Desktop PC",
"Lenovo",
IF(B308="Tablet",
"Samsung",
IF(B308="Headphone",
"Sony",
IF(B308="Camera",
"Sony",
IF(B308="Printer",
"HP",
IF(B308="External Hard Disk",
"Western Digital",
"Other")))))))))</f>
        <v>Sony</v>
      </c>
      <c r="E308" t="str">
        <f t="shared" si="17"/>
        <v>Supertron Electronics</v>
      </c>
      <c r="F308">
        <f t="shared" si="18"/>
        <v>60000</v>
      </c>
      <c r="G308">
        <f t="shared" si="19"/>
        <v>66000</v>
      </c>
    </row>
    <row r="309" spans="1:7" x14ac:dyDescent="0.25">
      <c r="A309" t="s">
        <v>308</v>
      </c>
      <c r="B309" t="s">
        <v>1005</v>
      </c>
      <c r="C309" t="str">
        <f t="shared" si="16"/>
        <v>Electronics (Computing Devices)</v>
      </c>
      <c r="D309" t="str">
        <f>IF(B309="Smartphone",D310,
IF(B309="Smartwatch",
"Apple",
IF(B309="Laptop",
" Apple",
IF(B309="Desktop PC",
"Lenovo",
IF(B309="Tablet",
"Samsung",
IF(B309="Headphone",
"Sony",
IF(B309="Camera",
"Sony",
IF(B309="Printer",
"HP",
IF(B309="External Hard Disk",
"Western Digital",
"Other")))))))))</f>
        <v>Samsung</v>
      </c>
      <c r="E309" t="str">
        <f t="shared" si="17"/>
        <v>Rashi Peripherals</v>
      </c>
      <c r="F309">
        <f t="shared" si="18"/>
        <v>30000</v>
      </c>
      <c r="G309">
        <f t="shared" si="19"/>
        <v>33000</v>
      </c>
    </row>
    <row r="310" spans="1:7" x14ac:dyDescent="0.25">
      <c r="A310" t="s">
        <v>309</v>
      </c>
      <c r="B310" t="s">
        <v>1012</v>
      </c>
      <c r="C310" t="str">
        <f t="shared" si="16"/>
        <v>Audio Devices</v>
      </c>
      <c r="D310" t="str">
        <f>IF(B310="Smartphone",D311,
IF(B310="Smartwatch",
"Apple",
IF(B310="Laptop",
" Apple",
IF(B310="Desktop PC",
"Lenovo",
IF(B310="Tablet",
"Samsung",
IF(B310="Headphone",
"Sony",
IF(B310="Camera",
"Sony",
IF(B310="Printer",
"HP",
IF(B310="External Hard Disk",
"Western Digital",
"Other")))))))))</f>
        <v>Sony</v>
      </c>
      <c r="E310" t="str">
        <f t="shared" si="17"/>
        <v>Supertron Electronics</v>
      </c>
      <c r="F310">
        <f t="shared" si="18"/>
        <v>60000</v>
      </c>
      <c r="G310">
        <f t="shared" si="19"/>
        <v>66000</v>
      </c>
    </row>
    <row r="311" spans="1:7" x14ac:dyDescent="0.25">
      <c r="A311" t="s">
        <v>310</v>
      </c>
      <c r="B311" t="s">
        <v>1010</v>
      </c>
      <c r="C311" t="str">
        <f t="shared" si="16"/>
        <v>Office Equipments</v>
      </c>
      <c r="D311" t="str">
        <f>IF(B311="Smartphone",D312,
IF(B311="Smartwatch",
"Apple",
IF(B311="Laptop",
" Apple",
IF(B311="Desktop PC",
"Lenovo",
IF(B311="Tablet",
"Samsung",
IF(B311="Headphone",
"Sony",
IF(B311="Camera",
"Sony",
IF(B311="Printer",
"HP",
IF(B311="External Hard Disk",
"Western Digital",
"Other")))))))))</f>
        <v>Sony</v>
      </c>
      <c r="E311" t="str">
        <f t="shared" si="17"/>
        <v>Supertron Electronics</v>
      </c>
      <c r="F311">
        <f t="shared" si="18"/>
        <v>60000</v>
      </c>
      <c r="G311">
        <f t="shared" si="19"/>
        <v>66000</v>
      </c>
    </row>
    <row r="312" spans="1:7" x14ac:dyDescent="0.25">
      <c r="A312" t="s">
        <v>311</v>
      </c>
      <c r="B312" t="s">
        <v>1005</v>
      </c>
      <c r="C312" t="str">
        <f t="shared" si="16"/>
        <v>Electronics (Computing Devices)</v>
      </c>
      <c r="D312" t="str">
        <f>IF(B312="Smartphone",D313,
IF(B312="Smartwatch",
"Apple",
IF(B312="Laptop",
" Apple",
IF(B312="Desktop PC",
"Lenovo",
IF(B312="Tablet",
"Samsung",
IF(B312="Headphone",
"Sony",
IF(B312="Camera",
"Sony",
IF(B312="Printer",
"HP",
IF(B312="External Hard Disk",
"Western Digital",
"Other")))))))))</f>
        <v>Samsung</v>
      </c>
      <c r="E312" t="str">
        <f t="shared" si="17"/>
        <v>Rashi Peripherals</v>
      </c>
      <c r="F312">
        <f t="shared" si="18"/>
        <v>30000</v>
      </c>
      <c r="G312">
        <f t="shared" si="19"/>
        <v>33000</v>
      </c>
    </row>
    <row r="313" spans="1:7" x14ac:dyDescent="0.25">
      <c r="A313" t="s">
        <v>312</v>
      </c>
      <c r="B313" t="s">
        <v>1013</v>
      </c>
      <c r="C313" t="str">
        <f t="shared" si="16"/>
        <v>Storage Devices</v>
      </c>
      <c r="D313" t="str">
        <f>IF(B313="Smartphone",D314,
IF(B313="Smartwatch",
"Apple",
IF(B313="Laptop",
" Apple",
IF(B313="Desktop PC",
"Lenovo",
IF(B313="Tablet",
"Samsung",
IF(B313="Headphone",
"Sony",
IF(B313="Camera",
"Sony",
IF(B313="Printer",
"HP",
IF(B313="External Hard Disk",
"Western Digital",
"Other")))))))))</f>
        <v>Western Digital</v>
      </c>
      <c r="E313" t="str">
        <f t="shared" si="17"/>
        <v>Ingram Micron India</v>
      </c>
      <c r="F313">
        <f t="shared" si="18"/>
        <v>35000</v>
      </c>
      <c r="G313">
        <f t="shared" si="19"/>
        <v>38500</v>
      </c>
    </row>
    <row r="314" spans="1:7" x14ac:dyDescent="0.25">
      <c r="A314" t="s">
        <v>313</v>
      </c>
      <c r="B314" t="s">
        <v>1013</v>
      </c>
      <c r="C314" t="str">
        <f t="shared" si="16"/>
        <v>Storage Devices</v>
      </c>
      <c r="D314" t="str">
        <f>IF(B314="Smartphone",D315,
IF(B314="Smartwatch",
"Apple",
IF(B314="Laptop",
" Apple",
IF(B314="Desktop PC",
"Lenovo",
IF(B314="Tablet",
"Samsung",
IF(B314="Headphone",
"Sony",
IF(B314="Camera",
"Sony",
IF(B314="Printer",
"HP",
IF(B314="External Hard Disk",
"Western Digital",
"Other")))))))))</f>
        <v>Western Digital</v>
      </c>
      <c r="E314" t="str">
        <f t="shared" si="17"/>
        <v>Ingram Micron India</v>
      </c>
      <c r="F314">
        <f t="shared" si="18"/>
        <v>35000</v>
      </c>
      <c r="G314">
        <f t="shared" si="19"/>
        <v>38500</v>
      </c>
    </row>
    <row r="315" spans="1:7" x14ac:dyDescent="0.25">
      <c r="A315" t="s">
        <v>314</v>
      </c>
      <c r="B315" t="s">
        <v>1013</v>
      </c>
      <c r="C315" t="str">
        <f t="shared" si="16"/>
        <v>Storage Devices</v>
      </c>
      <c r="D315" t="str">
        <f>IF(B315="Smartphone",D316,
IF(B315="Smartwatch",
"Apple",
IF(B315="Laptop",
" Apple",
IF(B315="Desktop PC",
"Lenovo",
IF(B315="Tablet",
"Samsung",
IF(B315="Headphone",
"Sony",
IF(B315="Camera",
"Sony",
IF(B315="Printer",
"HP",
IF(B315="External Hard Disk",
"Western Digital",
"Other")))))))))</f>
        <v>Western Digital</v>
      </c>
      <c r="E315" t="str">
        <f t="shared" si="17"/>
        <v>Ingram Micron India</v>
      </c>
      <c r="F315">
        <f t="shared" si="18"/>
        <v>35000</v>
      </c>
      <c r="G315">
        <f t="shared" si="19"/>
        <v>38500</v>
      </c>
    </row>
    <row r="316" spans="1:7" x14ac:dyDescent="0.25">
      <c r="A316" t="s">
        <v>315</v>
      </c>
      <c r="B316" t="s">
        <v>1005</v>
      </c>
      <c r="C316" t="str">
        <f t="shared" si="16"/>
        <v>Electronics (Computing Devices)</v>
      </c>
      <c r="D316" t="str">
        <f>IF(B316="Smartphone",D317,
IF(B316="Smartwatch",
"Apple",
IF(B316="Laptop",
" Apple",
IF(B316="Desktop PC",
"Lenovo",
IF(B316="Tablet",
"Samsung",
IF(B316="Headphone",
"Sony",
IF(B316="Camera",
"Sony",
IF(B316="Printer",
"HP",
IF(B316="External Hard Disk",
"Western Digital",
"Other")))))))))</f>
        <v>Samsung</v>
      </c>
      <c r="E316" t="str">
        <f t="shared" si="17"/>
        <v>Rashi Peripherals</v>
      </c>
      <c r="F316">
        <f t="shared" si="18"/>
        <v>30000</v>
      </c>
      <c r="G316">
        <f t="shared" si="19"/>
        <v>33000</v>
      </c>
    </row>
    <row r="317" spans="1:7" x14ac:dyDescent="0.25">
      <c r="A317" t="s">
        <v>316</v>
      </c>
      <c r="B317" t="s">
        <v>1004</v>
      </c>
      <c r="C317" t="str">
        <f t="shared" si="16"/>
        <v>Electronics (Computing Devices)</v>
      </c>
      <c r="D317" t="str">
        <f>IF(B317="Smartphone",D318,
IF(B317="Smartwatch",
"Apple",
IF(B317="Laptop",
" Apple",
IF(B317="Desktop PC",
"Lenovo",
IF(B317="Tablet",
"Samsung",
IF(B317="Headphone",
"Sony",
IF(B317="Camera",
"Sony",
IF(B317="Printer",
"HP",
IF(B317="External Hard Disk",
"Western Digital",
"Other")))))))))</f>
        <v xml:space="preserve"> Apple</v>
      </c>
      <c r="E317" t="str">
        <f t="shared" si="17"/>
        <v>Ingram Micron India</v>
      </c>
      <c r="F317">
        <f t="shared" si="18"/>
        <v>35000</v>
      </c>
      <c r="G317">
        <f t="shared" si="19"/>
        <v>38500</v>
      </c>
    </row>
    <row r="318" spans="1:7" x14ac:dyDescent="0.25">
      <c r="A318" t="s">
        <v>317</v>
      </c>
      <c r="B318" t="s">
        <v>1004</v>
      </c>
      <c r="C318" t="str">
        <f t="shared" si="16"/>
        <v>Electronics (Computing Devices)</v>
      </c>
      <c r="D318" t="str">
        <f>IF(B318="Smartphone",D319,
IF(B318="Smartwatch",
"Apple",
IF(B318="Laptop",
" Apple",
IF(B318="Desktop PC",
"Lenovo",
IF(B318="Tablet",
"Samsung",
IF(B318="Headphone",
"Sony",
IF(B318="Camera",
"Sony",
IF(B318="Printer",
"HP",
IF(B318="External Hard Disk",
"Western Digital",
"Other")))))))))</f>
        <v xml:space="preserve"> Apple</v>
      </c>
      <c r="E318" t="str">
        <f t="shared" si="17"/>
        <v>Ingram Micron India</v>
      </c>
      <c r="F318">
        <f t="shared" si="18"/>
        <v>35000</v>
      </c>
      <c r="G318">
        <f t="shared" si="19"/>
        <v>38500</v>
      </c>
    </row>
    <row r="319" spans="1:7" x14ac:dyDescent="0.25">
      <c r="A319" t="s">
        <v>318</v>
      </c>
      <c r="B319" t="s">
        <v>1010</v>
      </c>
      <c r="C319" t="str">
        <f t="shared" si="16"/>
        <v>Office Equipments</v>
      </c>
      <c r="D319" t="str">
        <f>IF(B319="Smartphone",D320,
IF(B319="Smartwatch",
"Apple",
IF(B319="Laptop",
" Apple",
IF(B319="Desktop PC",
"Lenovo",
IF(B319="Tablet",
"Samsung",
IF(B319="Headphone",
"Sony",
IF(B319="Camera",
"Sony",
IF(B319="Printer",
"HP",
IF(B319="External Hard Disk",
"Western Digital",
"Other")))))))))</f>
        <v>Sony</v>
      </c>
      <c r="E319" t="str">
        <f t="shared" si="17"/>
        <v>Supertron Electronics</v>
      </c>
      <c r="F319">
        <f t="shared" si="18"/>
        <v>60000</v>
      </c>
      <c r="G319">
        <f t="shared" si="19"/>
        <v>66000</v>
      </c>
    </row>
    <row r="320" spans="1:7" x14ac:dyDescent="0.25">
      <c r="A320" t="s">
        <v>319</v>
      </c>
      <c r="B320" t="s">
        <v>1004</v>
      </c>
      <c r="C320" t="str">
        <f t="shared" si="16"/>
        <v>Electronics (Computing Devices)</v>
      </c>
      <c r="D320" t="str">
        <f>IF(B320="Smartphone",D321,
IF(B320="Smartwatch",
"Apple",
IF(B320="Laptop",
" Apple",
IF(B320="Desktop PC",
"Lenovo",
IF(B320="Tablet",
"Samsung",
IF(B320="Headphone",
"Sony",
IF(B320="Camera",
"Sony",
IF(B320="Printer",
"HP",
IF(B320="External Hard Disk",
"Western Digital",
"Other")))))))))</f>
        <v xml:space="preserve"> Apple</v>
      </c>
      <c r="E320" t="str">
        <f t="shared" si="17"/>
        <v>Ingram Micron India</v>
      </c>
      <c r="F320">
        <f t="shared" si="18"/>
        <v>35000</v>
      </c>
      <c r="G320">
        <f t="shared" si="19"/>
        <v>38500</v>
      </c>
    </row>
    <row r="321" spans="1:7" x14ac:dyDescent="0.25">
      <c r="A321" t="s">
        <v>320</v>
      </c>
      <c r="B321" t="s">
        <v>1007</v>
      </c>
      <c r="C321" t="str">
        <f t="shared" si="16"/>
        <v>Mobile and Wearables</v>
      </c>
      <c r="D321" t="str">
        <f>IF(B321="Smartphone",D322,
IF(B321="Smartwatch",
"Apple",
IF(B321="Laptop",
" Apple",
IF(B321="Desktop PC",
"Lenovo",
IF(B321="Tablet",
"Samsung",
IF(B321="Headphone",
"Sony",
IF(B321="Camera",
"Sony",
IF(B321="Printer",
"HP",
IF(B321="External Hard Disk",
"Western Digital",
"Other")))))))))</f>
        <v>Apple</v>
      </c>
      <c r="E321" t="str">
        <f t="shared" si="17"/>
        <v>Redington India</v>
      </c>
      <c r="F321">
        <f t="shared" si="18"/>
        <v>40000</v>
      </c>
      <c r="G321">
        <f t="shared" si="19"/>
        <v>44000</v>
      </c>
    </row>
    <row r="322" spans="1:7" x14ac:dyDescent="0.25">
      <c r="A322" t="s">
        <v>321</v>
      </c>
      <c r="B322" t="s">
        <v>1001</v>
      </c>
      <c r="C322" t="str">
        <f t="shared" si="16"/>
        <v>Mobile and Wearables</v>
      </c>
      <c r="D322" t="str">
        <f>IF(B322="Smartphone",D323,
IF(B322="Smartwatch",
"Apple",
IF(B322="Laptop",
" Apple",
IF(B322="Desktop PC",
"Lenovo",
IF(B322="Tablet",
"Samsung",
IF(B322="Headphone",
"Sony",
IF(B322="Camera",
"Sony",
IF(B322="Printer",
"HP",
IF(B322="External Hard Disk",
"Western Digital",
"Other")))))))))</f>
        <v>Apple</v>
      </c>
      <c r="E322" t="str">
        <f t="shared" si="17"/>
        <v>Redington India</v>
      </c>
      <c r="F322">
        <f t="shared" si="18"/>
        <v>40000</v>
      </c>
      <c r="G322">
        <f t="shared" si="19"/>
        <v>44000</v>
      </c>
    </row>
    <row r="323" spans="1:7" x14ac:dyDescent="0.25">
      <c r="A323" t="s">
        <v>322</v>
      </c>
      <c r="B323" t="s">
        <v>1009</v>
      </c>
      <c r="C323" t="str">
        <f t="shared" ref="C323:C386" si="20">IF(OR(B323="Laptop",B323="Desktop PC",B323="Tablet",B323="E-Reader"),
"Electronics (Computing Devices)",
IF(OR(B323="Smartphone",B323="Smartwatch"),
"Mobile and Wearables",
IF(B323="Headphone",
"Audio Devices",
IF(OR(B323="Printer",B323="Camera"),
"Office Equipments",
IF(B323="External Hard Disk",
"Storage Devices",
"Other")))))</f>
        <v>Office Equipments</v>
      </c>
      <c r="D323" t="str">
        <f>IF(B323="Smartphone",D324,
IF(B323="Smartwatch",
"Apple",
IF(B323="Laptop",
" Apple",
IF(B323="Desktop PC",
"Lenovo",
IF(B323="Tablet",
"Samsung",
IF(B323="Headphone",
"Sony",
IF(B323="Camera",
"Sony",
IF(B323="Printer",
"HP",
IF(B323="External Hard Disk",
"Western Digital",
"Other")))))))))</f>
        <v>HP</v>
      </c>
      <c r="E323" t="str">
        <f t="shared" ref="E323:E386" si="21">IF(D323="Apple",
"Redington India",
IF(D323="Samsung",
"Rashi Peripherals",
IF(D323="Sony",
"Supertron Electronics",
IF(OR(D323="Lenovo",D323="HP",D323="Dell"),
"Savex Technologies",
IF(C323="Printer",
"Rashi Peripherals",
IF(C323="Camera",
"Redington India",
IF(C323="External Hard Disk",
"Supertron Electronics",
"Ingram Micron India")))))))</f>
        <v>Savex Technologies</v>
      </c>
      <c r="F323">
        <f t="shared" ref="F323:F386" si="22">IF(D323="Apple",
IF(C323="Smartphone",95000,
IF(C323="Tablet",75000,
IF(C323="Laptop",150000,
IF(C323="Smartwatch",90000,40000)))),
IF(D323="Samsung",
IF(C323="Smartphone",55000,
IF(C323="Tablet",40000,
IF(C323="Smartwatch",25000,30000))),
IF(D323="Lenovo",
IF(C323="Laptop",85000,
IF(C323="Desktop PC",70000,45000)),
IF(D323="HP",
IF(C323="Printer",30000,
IF(C323="Laptop",80000,40000)),
IF(D323="Sony",
IF(C323="Headphone",15000,
IF(C323="Camera",120000,60000)),
IF(C323="External Hard Disk",
IF(D323="Seagate",7000,
IF(D323="Western Digital",8000,7500)),
35000))))))</f>
        <v>40000</v>
      </c>
      <c r="G323">
        <f t="shared" ref="G323:G386" si="23">IF(C323="Smartphone",F323*1.1,
IF(C323="Laptop",F323*1.08,
IF(C323="Tablet",F323*1.12,
IF(C323="Smartwatch",F323*1.15,
IF(C323="Desktop PC",F323*1.07,
IF(C323="Printer",F323*1.18,
IF(C323="Camera",F323*1.12,
IF(C323="Headphone",F323*1.25,
IF(C323="External Hard Disk",F323*1.2,
F323*1.1)))))))))</f>
        <v>44000</v>
      </c>
    </row>
    <row r="324" spans="1:7" x14ac:dyDescent="0.25">
      <c r="A324" t="s">
        <v>323</v>
      </c>
      <c r="B324" t="s">
        <v>1004</v>
      </c>
      <c r="C324" t="str">
        <f t="shared" si="20"/>
        <v>Electronics (Computing Devices)</v>
      </c>
      <c r="D324" t="str">
        <f>IF(B324="Smartphone",D325,
IF(B324="Smartwatch",
"Apple",
IF(B324="Laptop",
" Apple",
IF(B324="Desktop PC",
"Lenovo",
IF(B324="Tablet",
"Samsung",
IF(B324="Headphone",
"Sony",
IF(B324="Camera",
"Sony",
IF(B324="Printer",
"HP",
IF(B324="External Hard Disk",
"Western Digital",
"Other")))))))))</f>
        <v xml:space="preserve"> Apple</v>
      </c>
      <c r="E324" t="str">
        <f t="shared" si="21"/>
        <v>Ingram Micron India</v>
      </c>
      <c r="F324">
        <f t="shared" si="22"/>
        <v>35000</v>
      </c>
      <c r="G324">
        <f t="shared" si="23"/>
        <v>38500</v>
      </c>
    </row>
    <row r="325" spans="1:7" x14ac:dyDescent="0.25">
      <c r="A325" t="s">
        <v>324</v>
      </c>
      <c r="B325" t="s">
        <v>1001</v>
      </c>
      <c r="C325" t="str">
        <f t="shared" si="20"/>
        <v>Mobile and Wearables</v>
      </c>
      <c r="D325" t="str">
        <f>IF(B325="Smartphone",D326,
IF(B325="Smartwatch",
"Apple",
IF(B325="Laptop",
" Apple",
IF(B325="Desktop PC",
"Lenovo",
IF(B325="Tablet",
"Samsung",
IF(B325="Headphone",
"Sony",
IF(B325="Camera",
"Sony",
IF(B325="Printer",
"HP",
IF(B325="External Hard Disk",
"Western Digital",
"Other")))))))))</f>
        <v>Apple</v>
      </c>
      <c r="E325" t="str">
        <f t="shared" si="21"/>
        <v>Redington India</v>
      </c>
      <c r="F325">
        <f t="shared" si="22"/>
        <v>40000</v>
      </c>
      <c r="G325">
        <f t="shared" si="23"/>
        <v>44000</v>
      </c>
    </row>
    <row r="326" spans="1:7" x14ac:dyDescent="0.25">
      <c r="A326" t="s">
        <v>325</v>
      </c>
      <c r="B326" t="s">
        <v>1001</v>
      </c>
      <c r="C326" t="str">
        <f t="shared" si="20"/>
        <v>Mobile and Wearables</v>
      </c>
      <c r="D326" t="str">
        <f>IF(B326="Smartphone",D327,
IF(B326="Smartwatch",
"Apple",
IF(B326="Laptop",
" Apple",
IF(B326="Desktop PC",
"Lenovo",
IF(B326="Tablet",
"Samsung",
IF(B326="Headphone",
"Sony",
IF(B326="Camera",
"Sony",
IF(B326="Printer",
"HP",
IF(B326="External Hard Disk",
"Western Digital",
"Other")))))))))</f>
        <v>Apple</v>
      </c>
      <c r="E326" t="str">
        <f t="shared" si="21"/>
        <v>Redington India</v>
      </c>
      <c r="F326">
        <f t="shared" si="22"/>
        <v>40000</v>
      </c>
      <c r="G326">
        <f t="shared" si="23"/>
        <v>44000</v>
      </c>
    </row>
    <row r="327" spans="1:7" x14ac:dyDescent="0.25">
      <c r="A327" t="s">
        <v>326</v>
      </c>
      <c r="B327" t="s">
        <v>1012</v>
      </c>
      <c r="C327" t="str">
        <f t="shared" si="20"/>
        <v>Audio Devices</v>
      </c>
      <c r="D327" t="str">
        <f>IF(B327="Smartphone",D328,
IF(B327="Smartwatch",
"Apple",
IF(B327="Laptop",
" Apple",
IF(B327="Desktop PC",
"Lenovo",
IF(B327="Tablet",
"Samsung",
IF(B327="Headphone",
"Sony",
IF(B327="Camera",
"Sony",
IF(B327="Printer",
"HP",
IF(B327="External Hard Disk",
"Western Digital",
"Other")))))))))</f>
        <v>Sony</v>
      </c>
      <c r="E327" t="str">
        <f t="shared" si="21"/>
        <v>Supertron Electronics</v>
      </c>
      <c r="F327">
        <f t="shared" si="22"/>
        <v>60000</v>
      </c>
      <c r="G327">
        <f t="shared" si="23"/>
        <v>66000</v>
      </c>
    </row>
    <row r="328" spans="1:7" x14ac:dyDescent="0.25">
      <c r="A328" t="s">
        <v>327</v>
      </c>
      <c r="B328" t="s">
        <v>1009</v>
      </c>
      <c r="C328" t="str">
        <f t="shared" si="20"/>
        <v>Office Equipments</v>
      </c>
      <c r="D328" t="str">
        <f>IF(B328="Smartphone",D329,
IF(B328="Smartwatch",
"Apple",
IF(B328="Laptop",
" Apple",
IF(B328="Desktop PC",
"Lenovo",
IF(B328="Tablet",
"Samsung",
IF(B328="Headphone",
"Sony",
IF(B328="Camera",
"Sony",
IF(B328="Printer",
"HP",
IF(B328="External Hard Disk",
"Western Digital",
"Other")))))))))</f>
        <v>HP</v>
      </c>
      <c r="E328" t="str">
        <f t="shared" si="21"/>
        <v>Savex Technologies</v>
      </c>
      <c r="F328">
        <f t="shared" si="22"/>
        <v>40000</v>
      </c>
      <c r="G328">
        <f t="shared" si="23"/>
        <v>44000</v>
      </c>
    </row>
    <row r="329" spans="1:7" x14ac:dyDescent="0.25">
      <c r="A329" t="s">
        <v>328</v>
      </c>
      <c r="B329" t="s">
        <v>1013</v>
      </c>
      <c r="C329" t="str">
        <f t="shared" si="20"/>
        <v>Storage Devices</v>
      </c>
      <c r="D329" t="str">
        <f>IF(B329="Smartphone",D330,
IF(B329="Smartwatch",
"Apple",
IF(B329="Laptop",
" Apple",
IF(B329="Desktop PC",
"Lenovo",
IF(B329="Tablet",
"Samsung",
IF(B329="Headphone",
"Sony",
IF(B329="Camera",
"Sony",
IF(B329="Printer",
"HP",
IF(B329="External Hard Disk",
"Western Digital",
"Other")))))))))</f>
        <v>Western Digital</v>
      </c>
      <c r="E329" t="str">
        <f t="shared" si="21"/>
        <v>Ingram Micron India</v>
      </c>
      <c r="F329">
        <f t="shared" si="22"/>
        <v>35000</v>
      </c>
      <c r="G329">
        <f t="shared" si="23"/>
        <v>38500</v>
      </c>
    </row>
    <row r="330" spans="1:7" x14ac:dyDescent="0.25">
      <c r="A330" t="s">
        <v>329</v>
      </c>
      <c r="B330" t="s">
        <v>1003</v>
      </c>
      <c r="C330" t="str">
        <f t="shared" si="20"/>
        <v>Electronics (Computing Devices)</v>
      </c>
      <c r="D330" t="str">
        <f>IF(B330="Smartphone",D331,
IF(B330="Smartwatch",
"Apple",
IF(B330="Laptop",
" Apple",
IF(B330="Desktop PC",
"Lenovo",
IF(B330="Tablet",
"Samsung",
IF(B330="Headphone",
"Sony",
IF(B330="Camera",
"Sony",
IF(B330="Printer",
"HP",
IF(B330="External Hard Disk",
"Western Digital",
"Other")))))))))</f>
        <v>Other</v>
      </c>
      <c r="E330" t="str">
        <f t="shared" si="21"/>
        <v>Ingram Micron India</v>
      </c>
      <c r="F330">
        <f t="shared" si="22"/>
        <v>35000</v>
      </c>
      <c r="G330">
        <f t="shared" si="23"/>
        <v>38500</v>
      </c>
    </row>
    <row r="331" spans="1:7" x14ac:dyDescent="0.25">
      <c r="A331" t="s">
        <v>330</v>
      </c>
      <c r="B331" t="s">
        <v>1004</v>
      </c>
      <c r="C331" t="str">
        <f t="shared" si="20"/>
        <v>Electronics (Computing Devices)</v>
      </c>
      <c r="D331" t="str">
        <f>IF(B331="Smartphone",D332,
IF(B331="Smartwatch",
"Apple",
IF(B331="Laptop",
" Apple",
IF(B331="Desktop PC",
"Lenovo",
IF(B331="Tablet",
"Samsung",
IF(B331="Headphone",
"Sony",
IF(B331="Camera",
"Sony",
IF(B331="Printer",
"HP",
IF(B331="External Hard Disk",
"Western Digital",
"Other")))))))))</f>
        <v xml:space="preserve"> Apple</v>
      </c>
      <c r="E331" t="str">
        <f t="shared" si="21"/>
        <v>Ingram Micron India</v>
      </c>
      <c r="F331">
        <f t="shared" si="22"/>
        <v>35000</v>
      </c>
      <c r="G331">
        <f t="shared" si="23"/>
        <v>38500</v>
      </c>
    </row>
    <row r="332" spans="1:7" x14ac:dyDescent="0.25">
      <c r="A332" t="s">
        <v>331</v>
      </c>
      <c r="B332" t="s">
        <v>1013</v>
      </c>
      <c r="C332" t="str">
        <f t="shared" si="20"/>
        <v>Storage Devices</v>
      </c>
      <c r="D332" t="str">
        <f>IF(B332="Smartphone",D333,
IF(B332="Smartwatch",
"Apple",
IF(B332="Laptop",
" Apple",
IF(B332="Desktop PC",
"Lenovo",
IF(B332="Tablet",
"Samsung",
IF(B332="Headphone",
"Sony",
IF(B332="Camera",
"Sony",
IF(B332="Printer",
"HP",
IF(B332="External Hard Disk",
"Western Digital",
"Other")))))))))</f>
        <v>Western Digital</v>
      </c>
      <c r="E332" t="str">
        <f t="shared" si="21"/>
        <v>Ingram Micron India</v>
      </c>
      <c r="F332">
        <f t="shared" si="22"/>
        <v>35000</v>
      </c>
      <c r="G332">
        <f t="shared" si="23"/>
        <v>38500</v>
      </c>
    </row>
    <row r="333" spans="1:7" x14ac:dyDescent="0.25">
      <c r="A333" t="s">
        <v>332</v>
      </c>
      <c r="B333" t="s">
        <v>1003</v>
      </c>
      <c r="C333" t="str">
        <f t="shared" si="20"/>
        <v>Electronics (Computing Devices)</v>
      </c>
      <c r="D333" t="str">
        <f>IF(B333="Smartphone",D334,
IF(B333="Smartwatch",
"Apple",
IF(B333="Laptop",
" Apple",
IF(B333="Desktop PC",
"Lenovo",
IF(B333="Tablet",
"Samsung",
IF(B333="Headphone",
"Sony",
IF(B333="Camera",
"Sony",
IF(B333="Printer",
"HP",
IF(B333="External Hard Disk",
"Western Digital",
"Other")))))))))</f>
        <v>Other</v>
      </c>
      <c r="E333" t="str">
        <f t="shared" si="21"/>
        <v>Ingram Micron India</v>
      </c>
      <c r="F333">
        <f t="shared" si="22"/>
        <v>35000</v>
      </c>
      <c r="G333">
        <f t="shared" si="23"/>
        <v>38500</v>
      </c>
    </row>
    <row r="334" spans="1:7" x14ac:dyDescent="0.25">
      <c r="A334" t="s">
        <v>333</v>
      </c>
      <c r="B334" t="s">
        <v>1005</v>
      </c>
      <c r="C334" t="str">
        <f t="shared" si="20"/>
        <v>Electronics (Computing Devices)</v>
      </c>
      <c r="D334" t="str">
        <f>IF(B334="Smartphone",D335,
IF(B334="Smartwatch",
"Apple",
IF(B334="Laptop",
" Apple",
IF(B334="Desktop PC",
"Lenovo",
IF(B334="Tablet",
"Samsung",
IF(B334="Headphone",
"Sony",
IF(B334="Camera",
"Sony",
IF(B334="Printer",
"HP",
IF(B334="External Hard Disk",
"Western Digital",
"Other")))))))))</f>
        <v>Samsung</v>
      </c>
      <c r="E334" t="str">
        <f t="shared" si="21"/>
        <v>Rashi Peripherals</v>
      </c>
      <c r="F334">
        <f t="shared" si="22"/>
        <v>30000</v>
      </c>
      <c r="G334">
        <f t="shared" si="23"/>
        <v>33000</v>
      </c>
    </row>
    <row r="335" spans="1:7" x14ac:dyDescent="0.25">
      <c r="A335" t="s">
        <v>334</v>
      </c>
      <c r="B335" t="s">
        <v>1001</v>
      </c>
      <c r="C335" t="str">
        <f t="shared" si="20"/>
        <v>Mobile and Wearables</v>
      </c>
      <c r="D335" t="str">
        <f>IF(B335="Smartphone",D336,
IF(B335="Smartwatch",
"Apple",
IF(B335="Laptop",
" Apple",
IF(B335="Desktop PC",
"Lenovo",
IF(B335="Tablet",
"Samsung",
IF(B335="Headphone",
"Sony",
IF(B335="Camera",
"Sony",
IF(B335="Printer",
"HP",
IF(B335="External Hard Disk",
"Western Digital",
"Other")))))))))</f>
        <v>Apple</v>
      </c>
      <c r="E335" t="str">
        <f t="shared" si="21"/>
        <v>Redington India</v>
      </c>
      <c r="F335">
        <f t="shared" si="22"/>
        <v>40000</v>
      </c>
      <c r="G335">
        <f t="shared" si="23"/>
        <v>44000</v>
      </c>
    </row>
    <row r="336" spans="1:7" x14ac:dyDescent="0.25">
      <c r="A336" t="s">
        <v>335</v>
      </c>
      <c r="B336" t="s">
        <v>1009</v>
      </c>
      <c r="C336" t="str">
        <f t="shared" si="20"/>
        <v>Office Equipments</v>
      </c>
      <c r="D336" t="str">
        <f>IF(B336="Smartphone",D337,
IF(B336="Smartwatch",
"Apple",
IF(B336="Laptop",
" Apple",
IF(B336="Desktop PC",
"Lenovo",
IF(B336="Tablet",
"Samsung",
IF(B336="Headphone",
"Sony",
IF(B336="Camera",
"Sony",
IF(B336="Printer",
"HP",
IF(B336="External Hard Disk",
"Western Digital",
"Other")))))))))</f>
        <v>HP</v>
      </c>
      <c r="E336" t="str">
        <f t="shared" si="21"/>
        <v>Savex Technologies</v>
      </c>
      <c r="F336">
        <f t="shared" si="22"/>
        <v>40000</v>
      </c>
      <c r="G336">
        <f t="shared" si="23"/>
        <v>44000</v>
      </c>
    </row>
    <row r="337" spans="1:7" x14ac:dyDescent="0.25">
      <c r="A337" t="s">
        <v>336</v>
      </c>
      <c r="B337" t="s">
        <v>1013</v>
      </c>
      <c r="C337" t="str">
        <f t="shared" si="20"/>
        <v>Storage Devices</v>
      </c>
      <c r="D337" t="str">
        <f>IF(B337="Smartphone",D338,
IF(B337="Smartwatch",
"Apple",
IF(B337="Laptop",
" Apple",
IF(B337="Desktop PC",
"Lenovo",
IF(B337="Tablet",
"Samsung",
IF(B337="Headphone",
"Sony",
IF(B337="Camera",
"Sony",
IF(B337="Printer",
"HP",
IF(B337="External Hard Disk",
"Western Digital",
"Other")))))))))</f>
        <v>Western Digital</v>
      </c>
      <c r="E337" t="str">
        <f t="shared" si="21"/>
        <v>Ingram Micron India</v>
      </c>
      <c r="F337">
        <f t="shared" si="22"/>
        <v>35000</v>
      </c>
      <c r="G337">
        <f t="shared" si="23"/>
        <v>38500</v>
      </c>
    </row>
    <row r="338" spans="1:7" x14ac:dyDescent="0.25">
      <c r="A338" t="s">
        <v>337</v>
      </c>
      <c r="B338" t="s">
        <v>1005</v>
      </c>
      <c r="C338" t="str">
        <f t="shared" si="20"/>
        <v>Electronics (Computing Devices)</v>
      </c>
      <c r="D338" t="str">
        <f>IF(B338="Smartphone",D339,
IF(B338="Smartwatch",
"Apple",
IF(B338="Laptop",
" Apple",
IF(B338="Desktop PC",
"Lenovo",
IF(B338="Tablet",
"Samsung",
IF(B338="Headphone",
"Sony",
IF(B338="Camera",
"Sony",
IF(B338="Printer",
"HP",
IF(B338="External Hard Disk",
"Western Digital",
"Other")))))))))</f>
        <v>Samsung</v>
      </c>
      <c r="E338" t="str">
        <f t="shared" si="21"/>
        <v>Rashi Peripherals</v>
      </c>
      <c r="F338">
        <f t="shared" si="22"/>
        <v>30000</v>
      </c>
      <c r="G338">
        <f t="shared" si="23"/>
        <v>33000</v>
      </c>
    </row>
    <row r="339" spans="1:7" x14ac:dyDescent="0.25">
      <c r="A339" t="s">
        <v>338</v>
      </c>
      <c r="B339" t="s">
        <v>1005</v>
      </c>
      <c r="C339" t="str">
        <f t="shared" si="20"/>
        <v>Electronics (Computing Devices)</v>
      </c>
      <c r="D339" t="str">
        <f>IF(B339="Smartphone",D340,
IF(B339="Smartwatch",
"Apple",
IF(B339="Laptop",
" Apple",
IF(B339="Desktop PC",
"Lenovo",
IF(B339="Tablet",
"Samsung",
IF(B339="Headphone",
"Sony",
IF(B339="Camera",
"Sony",
IF(B339="Printer",
"HP",
IF(B339="External Hard Disk",
"Western Digital",
"Other")))))))))</f>
        <v>Samsung</v>
      </c>
      <c r="E339" t="str">
        <f t="shared" si="21"/>
        <v>Rashi Peripherals</v>
      </c>
      <c r="F339">
        <f t="shared" si="22"/>
        <v>30000</v>
      </c>
      <c r="G339">
        <f t="shared" si="23"/>
        <v>33000</v>
      </c>
    </row>
    <row r="340" spans="1:7" x14ac:dyDescent="0.25">
      <c r="A340" t="s">
        <v>339</v>
      </c>
      <c r="B340" t="s">
        <v>1013</v>
      </c>
      <c r="C340" t="str">
        <f t="shared" si="20"/>
        <v>Storage Devices</v>
      </c>
      <c r="D340" t="str">
        <f>IF(B340="Smartphone",D341,
IF(B340="Smartwatch",
"Apple",
IF(B340="Laptop",
" Apple",
IF(B340="Desktop PC",
"Lenovo",
IF(B340="Tablet",
"Samsung",
IF(B340="Headphone",
"Sony",
IF(B340="Camera",
"Sony",
IF(B340="Printer",
"HP",
IF(B340="External Hard Disk",
"Western Digital",
"Other")))))))))</f>
        <v>Western Digital</v>
      </c>
      <c r="E340" t="str">
        <f t="shared" si="21"/>
        <v>Ingram Micron India</v>
      </c>
      <c r="F340">
        <f t="shared" si="22"/>
        <v>35000</v>
      </c>
      <c r="G340">
        <f t="shared" si="23"/>
        <v>38500</v>
      </c>
    </row>
    <row r="341" spans="1:7" x14ac:dyDescent="0.25">
      <c r="A341" t="s">
        <v>340</v>
      </c>
      <c r="B341" t="s">
        <v>1001</v>
      </c>
      <c r="C341" t="str">
        <f t="shared" si="20"/>
        <v>Mobile and Wearables</v>
      </c>
      <c r="D341" t="str">
        <f>IF(B341="Smartphone",D342,
IF(B341="Smartwatch",
"Apple",
IF(B341="Laptop",
" Apple",
IF(B341="Desktop PC",
"Lenovo",
IF(B341="Tablet",
"Samsung",
IF(B341="Headphone",
"Sony",
IF(B341="Camera",
"Sony",
IF(B341="Printer",
"HP",
IF(B341="External Hard Disk",
"Western Digital",
"Other")))))))))</f>
        <v>Apple</v>
      </c>
      <c r="E341" t="str">
        <f t="shared" si="21"/>
        <v>Redington India</v>
      </c>
      <c r="F341">
        <f t="shared" si="22"/>
        <v>40000</v>
      </c>
      <c r="G341">
        <f t="shared" si="23"/>
        <v>44000</v>
      </c>
    </row>
    <row r="342" spans="1:7" x14ac:dyDescent="0.25">
      <c r="A342" t="s">
        <v>341</v>
      </c>
      <c r="B342" t="s">
        <v>1009</v>
      </c>
      <c r="C342" t="str">
        <f t="shared" si="20"/>
        <v>Office Equipments</v>
      </c>
      <c r="D342" t="str">
        <f>IF(B342="Smartphone",D343,
IF(B342="Smartwatch",
"Apple",
IF(B342="Laptop",
" Apple",
IF(B342="Desktop PC",
"Lenovo",
IF(B342="Tablet",
"Samsung",
IF(B342="Headphone",
"Sony",
IF(B342="Camera",
"Sony",
IF(B342="Printer",
"HP",
IF(B342="External Hard Disk",
"Western Digital",
"Other")))))))))</f>
        <v>HP</v>
      </c>
      <c r="E342" t="str">
        <f t="shared" si="21"/>
        <v>Savex Technologies</v>
      </c>
      <c r="F342">
        <f t="shared" si="22"/>
        <v>40000</v>
      </c>
      <c r="G342">
        <f t="shared" si="23"/>
        <v>44000</v>
      </c>
    </row>
    <row r="343" spans="1:7" x14ac:dyDescent="0.25">
      <c r="A343" t="s">
        <v>342</v>
      </c>
      <c r="B343" t="s">
        <v>1002</v>
      </c>
      <c r="C343" t="str">
        <f t="shared" si="20"/>
        <v>Electronics (Computing Devices)</v>
      </c>
      <c r="D343" t="str">
        <f>IF(B343="Smartphone",D344,
IF(B343="Smartwatch",
"Apple",
IF(B343="Laptop",
" Apple",
IF(B343="Desktop PC",
"Lenovo",
IF(B343="Tablet",
"Samsung",
IF(B343="Headphone",
"Sony",
IF(B343="Camera",
"Sony",
IF(B343="Printer",
"HP",
IF(B343="External Hard Disk",
"Western Digital",
"Other")))))))))</f>
        <v>Lenovo</v>
      </c>
      <c r="E343" t="str">
        <f t="shared" si="21"/>
        <v>Savex Technologies</v>
      </c>
      <c r="F343">
        <f t="shared" si="22"/>
        <v>45000</v>
      </c>
      <c r="G343">
        <f t="shared" si="23"/>
        <v>49500.000000000007</v>
      </c>
    </row>
    <row r="344" spans="1:7" x14ac:dyDescent="0.25">
      <c r="A344" t="s">
        <v>343</v>
      </c>
      <c r="B344" t="s">
        <v>1012</v>
      </c>
      <c r="C344" t="str">
        <f t="shared" si="20"/>
        <v>Audio Devices</v>
      </c>
      <c r="D344" t="str">
        <f>IF(B344="Smartphone",D345,
IF(B344="Smartwatch",
"Apple",
IF(B344="Laptop",
" Apple",
IF(B344="Desktop PC",
"Lenovo",
IF(B344="Tablet",
"Samsung",
IF(B344="Headphone",
"Sony",
IF(B344="Camera",
"Sony",
IF(B344="Printer",
"HP",
IF(B344="External Hard Disk",
"Western Digital",
"Other")))))))))</f>
        <v>Sony</v>
      </c>
      <c r="E344" t="str">
        <f t="shared" si="21"/>
        <v>Supertron Electronics</v>
      </c>
      <c r="F344">
        <f t="shared" si="22"/>
        <v>60000</v>
      </c>
      <c r="G344">
        <f t="shared" si="23"/>
        <v>66000</v>
      </c>
    </row>
    <row r="345" spans="1:7" x14ac:dyDescent="0.25">
      <c r="A345" t="s">
        <v>344</v>
      </c>
      <c r="B345" t="s">
        <v>1012</v>
      </c>
      <c r="C345" t="str">
        <f t="shared" si="20"/>
        <v>Audio Devices</v>
      </c>
      <c r="D345" t="str">
        <f>IF(B345="Smartphone",D346,
IF(B345="Smartwatch",
"Apple",
IF(B345="Laptop",
" Apple",
IF(B345="Desktop PC",
"Lenovo",
IF(B345="Tablet",
"Samsung",
IF(B345="Headphone",
"Sony",
IF(B345="Camera",
"Sony",
IF(B345="Printer",
"HP",
IF(B345="External Hard Disk",
"Western Digital",
"Other")))))))))</f>
        <v>Sony</v>
      </c>
      <c r="E345" t="str">
        <f t="shared" si="21"/>
        <v>Supertron Electronics</v>
      </c>
      <c r="F345">
        <f t="shared" si="22"/>
        <v>60000</v>
      </c>
      <c r="G345">
        <f t="shared" si="23"/>
        <v>66000</v>
      </c>
    </row>
    <row r="346" spans="1:7" x14ac:dyDescent="0.25">
      <c r="A346" t="s">
        <v>345</v>
      </c>
      <c r="B346" t="s">
        <v>1009</v>
      </c>
      <c r="C346" t="str">
        <f t="shared" si="20"/>
        <v>Office Equipments</v>
      </c>
      <c r="D346" t="str">
        <f>IF(B346="Smartphone",D347,
IF(B346="Smartwatch",
"Apple",
IF(B346="Laptop",
" Apple",
IF(B346="Desktop PC",
"Lenovo",
IF(B346="Tablet",
"Samsung",
IF(B346="Headphone",
"Sony",
IF(B346="Camera",
"Sony",
IF(B346="Printer",
"HP",
IF(B346="External Hard Disk",
"Western Digital",
"Other")))))))))</f>
        <v>HP</v>
      </c>
      <c r="E346" t="str">
        <f t="shared" si="21"/>
        <v>Savex Technologies</v>
      </c>
      <c r="F346">
        <f t="shared" si="22"/>
        <v>40000</v>
      </c>
      <c r="G346">
        <f t="shared" si="23"/>
        <v>44000</v>
      </c>
    </row>
    <row r="347" spans="1:7" x14ac:dyDescent="0.25">
      <c r="A347" t="s">
        <v>346</v>
      </c>
      <c r="B347" t="s">
        <v>1002</v>
      </c>
      <c r="C347" t="str">
        <f t="shared" si="20"/>
        <v>Electronics (Computing Devices)</v>
      </c>
      <c r="D347" t="str">
        <f>IF(B347="Smartphone",D348,
IF(B347="Smartwatch",
"Apple",
IF(B347="Laptop",
" Apple",
IF(B347="Desktop PC",
"Lenovo",
IF(B347="Tablet",
"Samsung",
IF(B347="Headphone",
"Sony",
IF(B347="Camera",
"Sony",
IF(B347="Printer",
"HP",
IF(B347="External Hard Disk",
"Western Digital",
"Other")))))))))</f>
        <v>Lenovo</v>
      </c>
      <c r="E347" t="str">
        <f t="shared" si="21"/>
        <v>Savex Technologies</v>
      </c>
      <c r="F347">
        <f t="shared" si="22"/>
        <v>45000</v>
      </c>
      <c r="G347">
        <f t="shared" si="23"/>
        <v>49500.000000000007</v>
      </c>
    </row>
    <row r="348" spans="1:7" x14ac:dyDescent="0.25">
      <c r="A348" t="s">
        <v>347</v>
      </c>
      <c r="B348" t="s">
        <v>1007</v>
      </c>
      <c r="C348" t="str">
        <f t="shared" si="20"/>
        <v>Mobile and Wearables</v>
      </c>
      <c r="D348" t="str">
        <f>IF(B348="Smartphone",D349,
IF(B348="Smartwatch",
"Apple",
IF(B348="Laptop",
" Apple",
IF(B348="Desktop PC",
"Lenovo",
IF(B348="Tablet",
"Samsung",
IF(B348="Headphone",
"Sony",
IF(B348="Camera",
"Sony",
IF(B348="Printer",
"HP",
IF(B348="External Hard Disk",
"Western Digital",
"Other")))))))))</f>
        <v>Western Digital</v>
      </c>
      <c r="E348" t="str">
        <f t="shared" si="21"/>
        <v>Ingram Micron India</v>
      </c>
      <c r="F348">
        <f t="shared" si="22"/>
        <v>35000</v>
      </c>
      <c r="G348">
        <f t="shared" si="23"/>
        <v>38500</v>
      </c>
    </row>
    <row r="349" spans="1:7" x14ac:dyDescent="0.25">
      <c r="A349" t="s">
        <v>348</v>
      </c>
      <c r="B349" t="s">
        <v>1013</v>
      </c>
      <c r="C349" t="str">
        <f t="shared" si="20"/>
        <v>Storage Devices</v>
      </c>
      <c r="D349" t="str">
        <f>IF(B349="Smartphone",D350,
IF(B349="Smartwatch",
"Apple",
IF(B349="Laptop",
" Apple",
IF(B349="Desktop PC",
"Lenovo",
IF(B349="Tablet",
"Samsung",
IF(B349="Headphone",
"Sony",
IF(B349="Camera",
"Sony",
IF(B349="Printer",
"HP",
IF(B349="External Hard Disk",
"Western Digital",
"Other")))))))))</f>
        <v>Western Digital</v>
      </c>
      <c r="E349" t="str">
        <f t="shared" si="21"/>
        <v>Ingram Micron India</v>
      </c>
      <c r="F349">
        <f t="shared" si="22"/>
        <v>35000</v>
      </c>
      <c r="G349">
        <f t="shared" si="23"/>
        <v>38500</v>
      </c>
    </row>
    <row r="350" spans="1:7" x14ac:dyDescent="0.25">
      <c r="A350" t="s">
        <v>349</v>
      </c>
      <c r="B350" t="s">
        <v>1009</v>
      </c>
      <c r="C350" t="str">
        <f t="shared" si="20"/>
        <v>Office Equipments</v>
      </c>
      <c r="D350" t="str">
        <f>IF(B350="Smartphone",D351,
IF(B350="Smartwatch",
"Apple",
IF(B350="Laptop",
" Apple",
IF(B350="Desktop PC",
"Lenovo",
IF(B350="Tablet",
"Samsung",
IF(B350="Headphone",
"Sony",
IF(B350="Camera",
"Sony",
IF(B350="Printer",
"HP",
IF(B350="External Hard Disk",
"Western Digital",
"Other")))))))))</f>
        <v>HP</v>
      </c>
      <c r="E350" t="str">
        <f t="shared" si="21"/>
        <v>Savex Technologies</v>
      </c>
      <c r="F350">
        <f t="shared" si="22"/>
        <v>40000</v>
      </c>
      <c r="G350">
        <f t="shared" si="23"/>
        <v>44000</v>
      </c>
    </row>
    <row r="351" spans="1:7" x14ac:dyDescent="0.25">
      <c r="A351" t="s">
        <v>350</v>
      </c>
      <c r="B351" t="s">
        <v>1001</v>
      </c>
      <c r="C351" t="str">
        <f t="shared" si="20"/>
        <v>Mobile and Wearables</v>
      </c>
      <c r="D351" t="str">
        <f>IF(B351="Smartphone",D352,
IF(B351="Smartwatch",
"Apple",
IF(B351="Laptop",
" Apple",
IF(B351="Desktop PC",
"Lenovo",
IF(B351="Tablet",
"Samsung",
IF(B351="Headphone",
"Sony",
IF(B351="Camera",
"Sony",
IF(B351="Printer",
"HP",
IF(B351="External Hard Disk",
"Western Digital",
"Other")))))))))</f>
        <v>Apple</v>
      </c>
      <c r="E351" t="str">
        <f t="shared" si="21"/>
        <v>Redington India</v>
      </c>
      <c r="F351">
        <f t="shared" si="22"/>
        <v>40000</v>
      </c>
      <c r="G351">
        <f t="shared" si="23"/>
        <v>44000</v>
      </c>
    </row>
    <row r="352" spans="1:7" x14ac:dyDescent="0.25">
      <c r="A352" t="s">
        <v>351</v>
      </c>
      <c r="B352" t="s">
        <v>1009</v>
      </c>
      <c r="C352" t="str">
        <f t="shared" si="20"/>
        <v>Office Equipments</v>
      </c>
      <c r="D352" t="str">
        <f>IF(B352="Smartphone",D353,
IF(B352="Smartwatch",
"Apple",
IF(B352="Laptop",
" Apple",
IF(B352="Desktop PC",
"Lenovo",
IF(B352="Tablet",
"Samsung",
IF(B352="Headphone",
"Sony",
IF(B352="Camera",
"Sony",
IF(B352="Printer",
"HP",
IF(B352="External Hard Disk",
"Western Digital",
"Other")))))))))</f>
        <v>HP</v>
      </c>
      <c r="E352" t="str">
        <f t="shared" si="21"/>
        <v>Savex Technologies</v>
      </c>
      <c r="F352">
        <f t="shared" si="22"/>
        <v>40000</v>
      </c>
      <c r="G352">
        <f t="shared" si="23"/>
        <v>44000</v>
      </c>
    </row>
    <row r="353" spans="1:7" x14ac:dyDescent="0.25">
      <c r="A353" t="s">
        <v>352</v>
      </c>
      <c r="B353" t="s">
        <v>1012</v>
      </c>
      <c r="C353" t="str">
        <f t="shared" si="20"/>
        <v>Audio Devices</v>
      </c>
      <c r="D353" t="str">
        <f>IF(B353="Smartphone",D354,
IF(B353="Smartwatch",
"Apple",
IF(B353="Laptop",
" Apple",
IF(B353="Desktop PC",
"Lenovo",
IF(B353="Tablet",
"Samsung",
IF(B353="Headphone",
"Sony",
IF(B353="Camera",
"Sony",
IF(B353="Printer",
"HP",
IF(B353="External Hard Disk",
"Western Digital",
"Other")))))))))</f>
        <v>Sony</v>
      </c>
      <c r="E353" t="str">
        <f t="shared" si="21"/>
        <v>Supertron Electronics</v>
      </c>
      <c r="F353">
        <f t="shared" si="22"/>
        <v>60000</v>
      </c>
      <c r="G353">
        <f t="shared" si="23"/>
        <v>66000</v>
      </c>
    </row>
    <row r="354" spans="1:7" x14ac:dyDescent="0.25">
      <c r="A354" t="s">
        <v>353</v>
      </c>
      <c r="B354" t="s">
        <v>1007</v>
      </c>
      <c r="C354" t="str">
        <f t="shared" si="20"/>
        <v>Mobile and Wearables</v>
      </c>
      <c r="D354" t="str">
        <f>IF(B354="Smartphone",D355,
IF(B354="Smartwatch",
"Apple",
IF(B354="Laptop",
" Apple",
IF(B354="Desktop PC",
"Lenovo",
IF(B354="Tablet",
"Samsung",
IF(B354="Headphone",
"Sony",
IF(B354="Camera",
"Sony",
IF(B354="Printer",
"HP",
IF(B354="External Hard Disk",
"Western Digital",
"Other")))))))))</f>
        <v>Apple</v>
      </c>
      <c r="E354" t="str">
        <f t="shared" si="21"/>
        <v>Redington India</v>
      </c>
      <c r="F354">
        <f t="shared" si="22"/>
        <v>40000</v>
      </c>
      <c r="G354">
        <f t="shared" si="23"/>
        <v>44000</v>
      </c>
    </row>
    <row r="355" spans="1:7" x14ac:dyDescent="0.25">
      <c r="A355" t="s">
        <v>354</v>
      </c>
      <c r="B355" t="s">
        <v>1001</v>
      </c>
      <c r="C355" t="str">
        <f t="shared" si="20"/>
        <v>Mobile and Wearables</v>
      </c>
      <c r="D355" t="str">
        <f>IF(B355="Smartphone",D356,
IF(B355="Smartwatch",
"Apple",
IF(B355="Laptop",
" Apple",
IF(B355="Desktop PC",
"Lenovo",
IF(B355="Tablet",
"Samsung",
IF(B355="Headphone",
"Sony",
IF(B355="Camera",
"Sony",
IF(B355="Printer",
"HP",
IF(B355="External Hard Disk",
"Western Digital",
"Other")))))))))</f>
        <v>Apple</v>
      </c>
      <c r="E355" t="str">
        <f t="shared" si="21"/>
        <v>Redington India</v>
      </c>
      <c r="F355">
        <f t="shared" si="22"/>
        <v>40000</v>
      </c>
      <c r="G355">
        <f t="shared" si="23"/>
        <v>44000</v>
      </c>
    </row>
    <row r="356" spans="1:7" x14ac:dyDescent="0.25">
      <c r="A356" t="s">
        <v>355</v>
      </c>
      <c r="B356" t="s">
        <v>1004</v>
      </c>
      <c r="C356" t="str">
        <f t="shared" si="20"/>
        <v>Electronics (Computing Devices)</v>
      </c>
      <c r="D356" t="str">
        <f>IF(B356="Smartphone",D357,
IF(B356="Smartwatch",
"Apple",
IF(B356="Laptop",
" Apple",
IF(B356="Desktop PC",
"Lenovo",
IF(B356="Tablet",
"Samsung",
IF(B356="Headphone",
"Sony",
IF(B356="Camera",
"Sony",
IF(B356="Printer",
"HP",
IF(B356="External Hard Disk",
"Western Digital",
"Other")))))))))</f>
        <v xml:space="preserve"> Apple</v>
      </c>
      <c r="E356" t="str">
        <f t="shared" si="21"/>
        <v>Ingram Micron India</v>
      </c>
      <c r="F356">
        <f t="shared" si="22"/>
        <v>35000</v>
      </c>
      <c r="G356">
        <f t="shared" si="23"/>
        <v>38500</v>
      </c>
    </row>
    <row r="357" spans="1:7" x14ac:dyDescent="0.25">
      <c r="A357" t="s">
        <v>356</v>
      </c>
      <c r="B357" t="s">
        <v>1012</v>
      </c>
      <c r="C357" t="str">
        <f t="shared" si="20"/>
        <v>Audio Devices</v>
      </c>
      <c r="D357" t="str">
        <f>IF(B357="Smartphone",D358,
IF(B357="Smartwatch",
"Apple",
IF(B357="Laptop",
" Apple",
IF(B357="Desktop PC",
"Lenovo",
IF(B357="Tablet",
"Samsung",
IF(B357="Headphone",
"Sony",
IF(B357="Camera",
"Sony",
IF(B357="Printer",
"HP",
IF(B357="External Hard Disk",
"Western Digital",
"Other")))))))))</f>
        <v>Sony</v>
      </c>
      <c r="E357" t="str">
        <f t="shared" si="21"/>
        <v>Supertron Electronics</v>
      </c>
      <c r="F357">
        <f t="shared" si="22"/>
        <v>60000</v>
      </c>
      <c r="G357">
        <f t="shared" si="23"/>
        <v>66000</v>
      </c>
    </row>
    <row r="358" spans="1:7" x14ac:dyDescent="0.25">
      <c r="A358" t="s">
        <v>357</v>
      </c>
      <c r="B358" t="s">
        <v>1010</v>
      </c>
      <c r="C358" t="str">
        <f t="shared" si="20"/>
        <v>Office Equipments</v>
      </c>
      <c r="D358" t="str">
        <f>IF(B358="Smartphone",D359,
IF(B358="Smartwatch",
"Apple",
IF(B358="Laptop",
" Apple",
IF(B358="Desktop PC",
"Lenovo",
IF(B358="Tablet",
"Samsung",
IF(B358="Headphone",
"Sony",
IF(B358="Camera",
"Sony",
IF(B358="Printer",
"HP",
IF(B358="External Hard Disk",
"Western Digital",
"Other")))))))))</f>
        <v>Sony</v>
      </c>
      <c r="E358" t="str">
        <f t="shared" si="21"/>
        <v>Supertron Electronics</v>
      </c>
      <c r="F358">
        <f t="shared" si="22"/>
        <v>60000</v>
      </c>
      <c r="G358">
        <f t="shared" si="23"/>
        <v>66000</v>
      </c>
    </row>
    <row r="359" spans="1:7" x14ac:dyDescent="0.25">
      <c r="A359" t="s">
        <v>358</v>
      </c>
      <c r="B359" t="s">
        <v>1009</v>
      </c>
      <c r="C359" t="str">
        <f t="shared" si="20"/>
        <v>Office Equipments</v>
      </c>
      <c r="D359" t="str">
        <f>IF(B359="Smartphone",D360,
IF(B359="Smartwatch",
"Apple",
IF(B359="Laptop",
" Apple",
IF(B359="Desktop PC",
"Lenovo",
IF(B359="Tablet",
"Samsung",
IF(B359="Headphone",
"Sony",
IF(B359="Camera",
"Sony",
IF(B359="Printer",
"HP",
IF(B359="External Hard Disk",
"Western Digital",
"Other")))))))))</f>
        <v>HP</v>
      </c>
      <c r="E359" t="str">
        <f t="shared" si="21"/>
        <v>Savex Technologies</v>
      </c>
      <c r="F359">
        <f t="shared" si="22"/>
        <v>40000</v>
      </c>
      <c r="G359">
        <f t="shared" si="23"/>
        <v>44000</v>
      </c>
    </row>
    <row r="360" spans="1:7" x14ac:dyDescent="0.25">
      <c r="A360" t="s">
        <v>359</v>
      </c>
      <c r="B360" t="s">
        <v>1002</v>
      </c>
      <c r="C360" t="str">
        <f t="shared" si="20"/>
        <v>Electronics (Computing Devices)</v>
      </c>
      <c r="D360" t="str">
        <f>IF(B360="Smartphone",D361,
IF(B360="Smartwatch",
"Apple",
IF(B360="Laptop",
" Apple",
IF(B360="Desktop PC",
"Lenovo",
IF(B360="Tablet",
"Samsung",
IF(B360="Headphone",
"Sony",
IF(B360="Camera",
"Sony",
IF(B360="Printer",
"HP",
IF(B360="External Hard Disk",
"Western Digital",
"Other")))))))))</f>
        <v>Lenovo</v>
      </c>
      <c r="E360" t="str">
        <f t="shared" si="21"/>
        <v>Savex Technologies</v>
      </c>
      <c r="F360">
        <f t="shared" si="22"/>
        <v>45000</v>
      </c>
      <c r="G360">
        <f t="shared" si="23"/>
        <v>49500.000000000007</v>
      </c>
    </row>
    <row r="361" spans="1:7" x14ac:dyDescent="0.25">
      <c r="A361" t="s">
        <v>360</v>
      </c>
      <c r="B361" t="s">
        <v>1012</v>
      </c>
      <c r="C361" t="str">
        <f t="shared" si="20"/>
        <v>Audio Devices</v>
      </c>
      <c r="D361" t="str">
        <f>IF(B361="Smartphone",D362,
IF(B361="Smartwatch",
"Apple",
IF(B361="Laptop",
" Apple",
IF(B361="Desktop PC",
"Lenovo",
IF(B361="Tablet",
"Samsung",
IF(B361="Headphone",
"Sony",
IF(B361="Camera",
"Sony",
IF(B361="Printer",
"HP",
IF(B361="External Hard Disk",
"Western Digital",
"Other")))))))))</f>
        <v>Sony</v>
      </c>
      <c r="E361" t="str">
        <f t="shared" si="21"/>
        <v>Supertron Electronics</v>
      </c>
      <c r="F361">
        <f t="shared" si="22"/>
        <v>60000</v>
      </c>
      <c r="G361">
        <f t="shared" si="23"/>
        <v>66000</v>
      </c>
    </row>
    <row r="362" spans="1:7" x14ac:dyDescent="0.25">
      <c r="A362" t="s">
        <v>361</v>
      </c>
      <c r="B362" t="s">
        <v>1004</v>
      </c>
      <c r="C362" t="str">
        <f t="shared" si="20"/>
        <v>Electronics (Computing Devices)</v>
      </c>
      <c r="D362" t="str">
        <f>IF(B362="Smartphone",D363,
IF(B362="Smartwatch",
"Apple",
IF(B362="Laptop",
" Apple",
IF(B362="Desktop PC",
"Lenovo",
IF(B362="Tablet",
"Samsung",
IF(B362="Headphone",
"Sony",
IF(B362="Camera",
"Sony",
IF(B362="Printer",
"HP",
IF(B362="External Hard Disk",
"Western Digital",
"Other")))))))))</f>
        <v xml:space="preserve"> Apple</v>
      </c>
      <c r="E362" t="str">
        <f t="shared" si="21"/>
        <v>Ingram Micron India</v>
      </c>
      <c r="F362">
        <f t="shared" si="22"/>
        <v>35000</v>
      </c>
      <c r="G362">
        <f t="shared" si="23"/>
        <v>38500</v>
      </c>
    </row>
    <row r="363" spans="1:7" x14ac:dyDescent="0.25">
      <c r="A363" t="s">
        <v>362</v>
      </c>
      <c r="B363" t="s">
        <v>1005</v>
      </c>
      <c r="C363" t="str">
        <f t="shared" si="20"/>
        <v>Electronics (Computing Devices)</v>
      </c>
      <c r="D363" t="str">
        <f>IF(B363="Smartphone",D364,
IF(B363="Smartwatch",
"Apple",
IF(B363="Laptop",
" Apple",
IF(B363="Desktop PC",
"Lenovo",
IF(B363="Tablet",
"Samsung",
IF(B363="Headphone",
"Sony",
IF(B363="Camera",
"Sony",
IF(B363="Printer",
"HP",
IF(B363="External Hard Disk",
"Western Digital",
"Other")))))))))</f>
        <v>Samsung</v>
      </c>
      <c r="E363" t="str">
        <f t="shared" si="21"/>
        <v>Rashi Peripherals</v>
      </c>
      <c r="F363">
        <f t="shared" si="22"/>
        <v>30000</v>
      </c>
      <c r="G363">
        <f t="shared" si="23"/>
        <v>33000</v>
      </c>
    </row>
    <row r="364" spans="1:7" x14ac:dyDescent="0.25">
      <c r="A364" t="s">
        <v>363</v>
      </c>
      <c r="B364" t="s">
        <v>1012</v>
      </c>
      <c r="C364" t="str">
        <f t="shared" si="20"/>
        <v>Audio Devices</v>
      </c>
      <c r="D364" t="str">
        <f>IF(B364="Smartphone",D365,
IF(B364="Smartwatch",
"Apple",
IF(B364="Laptop",
" Apple",
IF(B364="Desktop PC",
"Lenovo",
IF(B364="Tablet",
"Samsung",
IF(B364="Headphone",
"Sony",
IF(B364="Camera",
"Sony",
IF(B364="Printer",
"HP",
IF(B364="External Hard Disk",
"Western Digital",
"Other")))))))))</f>
        <v>Sony</v>
      </c>
      <c r="E364" t="str">
        <f t="shared" si="21"/>
        <v>Supertron Electronics</v>
      </c>
      <c r="F364">
        <f t="shared" si="22"/>
        <v>60000</v>
      </c>
      <c r="G364">
        <f t="shared" si="23"/>
        <v>66000</v>
      </c>
    </row>
    <row r="365" spans="1:7" x14ac:dyDescent="0.25">
      <c r="A365" t="s">
        <v>364</v>
      </c>
      <c r="B365" t="s">
        <v>1009</v>
      </c>
      <c r="C365" t="str">
        <f t="shared" si="20"/>
        <v>Office Equipments</v>
      </c>
      <c r="D365" t="str">
        <f>IF(B365="Smartphone",D366,
IF(B365="Smartwatch",
"Apple",
IF(B365="Laptop",
" Apple",
IF(B365="Desktop PC",
"Lenovo",
IF(B365="Tablet",
"Samsung",
IF(B365="Headphone",
"Sony",
IF(B365="Camera",
"Sony",
IF(B365="Printer",
"HP",
IF(B365="External Hard Disk",
"Western Digital",
"Other")))))))))</f>
        <v>HP</v>
      </c>
      <c r="E365" t="str">
        <f t="shared" si="21"/>
        <v>Savex Technologies</v>
      </c>
      <c r="F365">
        <f t="shared" si="22"/>
        <v>40000</v>
      </c>
      <c r="G365">
        <f t="shared" si="23"/>
        <v>44000</v>
      </c>
    </row>
    <row r="366" spans="1:7" x14ac:dyDescent="0.25">
      <c r="A366" t="s">
        <v>365</v>
      </c>
      <c r="B366" t="s">
        <v>1010</v>
      </c>
      <c r="C366" t="str">
        <f t="shared" si="20"/>
        <v>Office Equipments</v>
      </c>
      <c r="D366" t="str">
        <f>IF(B366="Smartphone",D367,
IF(B366="Smartwatch",
"Apple",
IF(B366="Laptop",
" Apple",
IF(B366="Desktop PC",
"Lenovo",
IF(B366="Tablet",
"Samsung",
IF(B366="Headphone",
"Sony",
IF(B366="Camera",
"Sony",
IF(B366="Printer",
"HP",
IF(B366="External Hard Disk",
"Western Digital",
"Other")))))))))</f>
        <v>Sony</v>
      </c>
      <c r="E366" t="str">
        <f t="shared" si="21"/>
        <v>Supertron Electronics</v>
      </c>
      <c r="F366">
        <f t="shared" si="22"/>
        <v>60000</v>
      </c>
      <c r="G366">
        <f t="shared" si="23"/>
        <v>66000</v>
      </c>
    </row>
    <row r="367" spans="1:7" x14ac:dyDescent="0.25">
      <c r="A367" t="s">
        <v>366</v>
      </c>
      <c r="B367" t="s">
        <v>1013</v>
      </c>
      <c r="C367" t="str">
        <f t="shared" si="20"/>
        <v>Storage Devices</v>
      </c>
      <c r="D367" t="str">
        <f>IF(B367="Smartphone",D368,
IF(B367="Smartwatch",
"Apple",
IF(B367="Laptop",
" Apple",
IF(B367="Desktop PC",
"Lenovo",
IF(B367="Tablet",
"Samsung",
IF(B367="Headphone",
"Sony",
IF(B367="Camera",
"Sony",
IF(B367="Printer",
"HP",
IF(B367="External Hard Disk",
"Western Digital",
"Other")))))))))</f>
        <v>Western Digital</v>
      </c>
      <c r="E367" t="str">
        <f t="shared" si="21"/>
        <v>Ingram Micron India</v>
      </c>
      <c r="F367">
        <f t="shared" si="22"/>
        <v>35000</v>
      </c>
      <c r="G367">
        <f t="shared" si="23"/>
        <v>38500</v>
      </c>
    </row>
    <row r="368" spans="1:7" x14ac:dyDescent="0.25">
      <c r="A368" t="s">
        <v>367</v>
      </c>
      <c r="B368" t="s">
        <v>1004</v>
      </c>
      <c r="C368" t="str">
        <f t="shared" si="20"/>
        <v>Electronics (Computing Devices)</v>
      </c>
      <c r="D368" t="str">
        <f>IF(B368="Smartphone",D369,
IF(B368="Smartwatch",
"Apple",
IF(B368="Laptop",
" Apple",
IF(B368="Desktop PC",
"Lenovo",
IF(B368="Tablet",
"Samsung",
IF(B368="Headphone",
"Sony",
IF(B368="Camera",
"Sony",
IF(B368="Printer",
"HP",
IF(B368="External Hard Disk",
"Western Digital",
"Other")))))))))</f>
        <v xml:space="preserve"> Apple</v>
      </c>
      <c r="E368" t="str">
        <f t="shared" si="21"/>
        <v>Ingram Micron India</v>
      </c>
      <c r="F368">
        <f t="shared" si="22"/>
        <v>35000</v>
      </c>
      <c r="G368">
        <f t="shared" si="23"/>
        <v>38500</v>
      </c>
    </row>
    <row r="369" spans="1:7" x14ac:dyDescent="0.25">
      <c r="A369" t="s">
        <v>368</v>
      </c>
      <c r="B369" t="s">
        <v>1001</v>
      </c>
      <c r="C369" t="str">
        <f t="shared" si="20"/>
        <v>Mobile and Wearables</v>
      </c>
      <c r="D369" t="str">
        <f>IF(B369="Smartphone",D370,
IF(B369="Smartwatch",
"Apple",
IF(B369="Laptop",
" Apple",
IF(B369="Desktop PC",
"Lenovo",
IF(B369="Tablet",
"Samsung",
IF(B369="Headphone",
"Sony",
IF(B369="Camera",
"Sony",
IF(B369="Printer",
"HP",
IF(B369="External Hard Disk",
"Western Digital",
"Other")))))))))</f>
        <v>Apple</v>
      </c>
      <c r="E369" t="str">
        <f t="shared" si="21"/>
        <v>Redington India</v>
      </c>
      <c r="F369">
        <f t="shared" si="22"/>
        <v>40000</v>
      </c>
      <c r="G369">
        <f t="shared" si="23"/>
        <v>44000</v>
      </c>
    </row>
    <row r="370" spans="1:7" x14ac:dyDescent="0.25">
      <c r="A370" t="s">
        <v>369</v>
      </c>
      <c r="B370" t="s">
        <v>1001</v>
      </c>
      <c r="C370" t="str">
        <f t="shared" si="20"/>
        <v>Mobile and Wearables</v>
      </c>
      <c r="D370" t="str">
        <f>IF(B370="Smartphone",D371,
IF(B370="Smartwatch",
"Apple",
IF(B370="Laptop",
" Apple",
IF(B370="Desktop PC",
"Lenovo",
IF(B370="Tablet",
"Samsung",
IF(B370="Headphone",
"Sony",
IF(B370="Camera",
"Sony",
IF(B370="Printer",
"HP",
IF(B370="External Hard Disk",
"Western Digital",
"Other")))))))))</f>
        <v>Apple</v>
      </c>
      <c r="E370" t="str">
        <f t="shared" si="21"/>
        <v>Redington India</v>
      </c>
      <c r="F370">
        <f t="shared" si="22"/>
        <v>40000</v>
      </c>
      <c r="G370">
        <f t="shared" si="23"/>
        <v>44000</v>
      </c>
    </row>
    <row r="371" spans="1:7" x14ac:dyDescent="0.25">
      <c r="A371" t="s">
        <v>370</v>
      </c>
      <c r="B371" t="s">
        <v>1013</v>
      </c>
      <c r="C371" t="str">
        <f t="shared" si="20"/>
        <v>Storage Devices</v>
      </c>
      <c r="D371" t="str">
        <f>IF(B371="Smartphone",D372,
IF(B371="Smartwatch",
"Apple",
IF(B371="Laptop",
" Apple",
IF(B371="Desktop PC",
"Lenovo",
IF(B371="Tablet",
"Samsung",
IF(B371="Headphone",
"Sony",
IF(B371="Camera",
"Sony",
IF(B371="Printer",
"HP",
IF(B371="External Hard Disk",
"Western Digital",
"Other")))))))))</f>
        <v>Western Digital</v>
      </c>
      <c r="E371" t="str">
        <f t="shared" si="21"/>
        <v>Ingram Micron India</v>
      </c>
      <c r="F371">
        <f t="shared" si="22"/>
        <v>35000</v>
      </c>
      <c r="G371">
        <f t="shared" si="23"/>
        <v>38500</v>
      </c>
    </row>
    <row r="372" spans="1:7" x14ac:dyDescent="0.25">
      <c r="A372" t="s">
        <v>371</v>
      </c>
      <c r="B372" t="s">
        <v>1004</v>
      </c>
      <c r="C372" t="str">
        <f t="shared" si="20"/>
        <v>Electronics (Computing Devices)</v>
      </c>
      <c r="D372" t="str">
        <f>IF(B372="Smartphone",D373,
IF(B372="Smartwatch",
"Apple",
IF(B372="Laptop",
" Apple",
IF(B372="Desktop PC",
"Lenovo",
IF(B372="Tablet",
"Samsung",
IF(B372="Headphone",
"Sony",
IF(B372="Camera",
"Sony",
IF(B372="Printer",
"HP",
IF(B372="External Hard Disk",
"Western Digital",
"Other")))))))))</f>
        <v xml:space="preserve"> Apple</v>
      </c>
      <c r="E372" t="str">
        <f t="shared" si="21"/>
        <v>Ingram Micron India</v>
      </c>
      <c r="F372">
        <f t="shared" si="22"/>
        <v>35000</v>
      </c>
      <c r="G372">
        <f t="shared" si="23"/>
        <v>38500</v>
      </c>
    </row>
    <row r="373" spans="1:7" x14ac:dyDescent="0.25">
      <c r="A373" t="s">
        <v>372</v>
      </c>
      <c r="B373" t="s">
        <v>1012</v>
      </c>
      <c r="C373" t="str">
        <f t="shared" si="20"/>
        <v>Audio Devices</v>
      </c>
      <c r="D373" t="str">
        <f>IF(B373="Smartphone",D374,
IF(B373="Smartwatch",
"Apple",
IF(B373="Laptop",
" Apple",
IF(B373="Desktop PC",
"Lenovo",
IF(B373="Tablet",
"Samsung",
IF(B373="Headphone",
"Sony",
IF(B373="Camera",
"Sony",
IF(B373="Printer",
"HP",
IF(B373="External Hard Disk",
"Western Digital",
"Other")))))))))</f>
        <v>Sony</v>
      </c>
      <c r="E373" t="str">
        <f t="shared" si="21"/>
        <v>Supertron Electronics</v>
      </c>
      <c r="F373">
        <f t="shared" si="22"/>
        <v>60000</v>
      </c>
      <c r="G373">
        <f t="shared" si="23"/>
        <v>66000</v>
      </c>
    </row>
    <row r="374" spans="1:7" x14ac:dyDescent="0.25">
      <c r="A374" t="s">
        <v>373</v>
      </c>
      <c r="B374" t="s">
        <v>1010</v>
      </c>
      <c r="C374" t="str">
        <f t="shared" si="20"/>
        <v>Office Equipments</v>
      </c>
      <c r="D374" t="str">
        <f>IF(B374="Smartphone",D375,
IF(B374="Smartwatch",
"Apple",
IF(B374="Laptop",
" Apple",
IF(B374="Desktop PC",
"Lenovo",
IF(B374="Tablet",
"Samsung",
IF(B374="Headphone",
"Sony",
IF(B374="Camera",
"Sony",
IF(B374="Printer",
"HP",
IF(B374="External Hard Disk",
"Western Digital",
"Other")))))))))</f>
        <v>Sony</v>
      </c>
      <c r="E374" t="str">
        <f t="shared" si="21"/>
        <v>Supertron Electronics</v>
      </c>
      <c r="F374">
        <f t="shared" si="22"/>
        <v>60000</v>
      </c>
      <c r="G374">
        <f t="shared" si="23"/>
        <v>66000</v>
      </c>
    </row>
    <row r="375" spans="1:7" x14ac:dyDescent="0.25">
      <c r="A375" t="s">
        <v>374</v>
      </c>
      <c r="B375" t="s">
        <v>1012</v>
      </c>
      <c r="C375" t="str">
        <f t="shared" si="20"/>
        <v>Audio Devices</v>
      </c>
      <c r="D375" t="str">
        <f>IF(B375="Smartphone",D376,
IF(B375="Smartwatch",
"Apple",
IF(B375="Laptop",
" Apple",
IF(B375="Desktop PC",
"Lenovo",
IF(B375="Tablet",
"Samsung",
IF(B375="Headphone",
"Sony",
IF(B375="Camera",
"Sony",
IF(B375="Printer",
"HP",
IF(B375="External Hard Disk",
"Western Digital",
"Other")))))))))</f>
        <v>Sony</v>
      </c>
      <c r="E375" t="str">
        <f t="shared" si="21"/>
        <v>Supertron Electronics</v>
      </c>
      <c r="F375">
        <f t="shared" si="22"/>
        <v>60000</v>
      </c>
      <c r="G375">
        <f t="shared" si="23"/>
        <v>66000</v>
      </c>
    </row>
    <row r="376" spans="1:7" x14ac:dyDescent="0.25">
      <c r="A376" t="s">
        <v>375</v>
      </c>
      <c r="B376" t="s">
        <v>1002</v>
      </c>
      <c r="C376" t="str">
        <f t="shared" si="20"/>
        <v>Electronics (Computing Devices)</v>
      </c>
      <c r="D376" t="str">
        <f>IF(B376="Smartphone",D377,
IF(B376="Smartwatch",
"Apple",
IF(B376="Laptop",
" Apple",
IF(B376="Desktop PC",
"Lenovo",
IF(B376="Tablet",
"Samsung",
IF(B376="Headphone",
"Sony",
IF(B376="Camera",
"Sony",
IF(B376="Printer",
"HP",
IF(B376="External Hard Disk",
"Western Digital",
"Other")))))))))</f>
        <v>Lenovo</v>
      </c>
      <c r="E376" t="str">
        <f t="shared" si="21"/>
        <v>Savex Technologies</v>
      </c>
      <c r="F376">
        <f t="shared" si="22"/>
        <v>45000</v>
      </c>
      <c r="G376">
        <f t="shared" si="23"/>
        <v>49500.000000000007</v>
      </c>
    </row>
    <row r="377" spans="1:7" x14ac:dyDescent="0.25">
      <c r="A377" t="s">
        <v>376</v>
      </c>
      <c r="B377" t="s">
        <v>1004</v>
      </c>
      <c r="C377" t="str">
        <f t="shared" si="20"/>
        <v>Electronics (Computing Devices)</v>
      </c>
      <c r="D377" t="str">
        <f>IF(B377="Smartphone",D378,
IF(B377="Smartwatch",
"Apple",
IF(B377="Laptop",
" Apple",
IF(B377="Desktop PC",
"Lenovo",
IF(B377="Tablet",
"Samsung",
IF(B377="Headphone",
"Sony",
IF(B377="Camera",
"Sony",
IF(B377="Printer",
"HP",
IF(B377="External Hard Disk",
"Western Digital",
"Other")))))))))</f>
        <v xml:space="preserve"> Apple</v>
      </c>
      <c r="E377" t="str">
        <f t="shared" si="21"/>
        <v>Ingram Micron India</v>
      </c>
      <c r="F377">
        <f t="shared" si="22"/>
        <v>35000</v>
      </c>
      <c r="G377">
        <f t="shared" si="23"/>
        <v>38500</v>
      </c>
    </row>
    <row r="378" spans="1:7" x14ac:dyDescent="0.25">
      <c r="A378" t="s">
        <v>377</v>
      </c>
      <c r="B378" t="s">
        <v>1013</v>
      </c>
      <c r="C378" t="str">
        <f t="shared" si="20"/>
        <v>Storage Devices</v>
      </c>
      <c r="D378" t="str">
        <f>IF(B378="Smartphone",D379,
IF(B378="Smartwatch",
"Apple",
IF(B378="Laptop",
" Apple",
IF(B378="Desktop PC",
"Lenovo",
IF(B378="Tablet",
"Samsung",
IF(B378="Headphone",
"Sony",
IF(B378="Camera",
"Sony",
IF(B378="Printer",
"HP",
IF(B378="External Hard Disk",
"Western Digital",
"Other")))))))))</f>
        <v>Western Digital</v>
      </c>
      <c r="E378" t="str">
        <f t="shared" si="21"/>
        <v>Ingram Micron India</v>
      </c>
      <c r="F378">
        <f t="shared" si="22"/>
        <v>35000</v>
      </c>
      <c r="G378">
        <f t="shared" si="23"/>
        <v>38500</v>
      </c>
    </row>
    <row r="379" spans="1:7" x14ac:dyDescent="0.25">
      <c r="A379" t="s">
        <v>378</v>
      </c>
      <c r="B379" t="s">
        <v>1010</v>
      </c>
      <c r="C379" t="str">
        <f t="shared" si="20"/>
        <v>Office Equipments</v>
      </c>
      <c r="D379" t="str">
        <f>IF(B379="Smartphone",D380,
IF(B379="Smartwatch",
"Apple",
IF(B379="Laptop",
" Apple",
IF(B379="Desktop PC",
"Lenovo",
IF(B379="Tablet",
"Samsung",
IF(B379="Headphone",
"Sony",
IF(B379="Camera",
"Sony",
IF(B379="Printer",
"HP",
IF(B379="External Hard Disk",
"Western Digital",
"Other")))))))))</f>
        <v>Sony</v>
      </c>
      <c r="E379" t="str">
        <f t="shared" si="21"/>
        <v>Supertron Electronics</v>
      </c>
      <c r="F379">
        <f t="shared" si="22"/>
        <v>60000</v>
      </c>
      <c r="G379">
        <f t="shared" si="23"/>
        <v>66000</v>
      </c>
    </row>
    <row r="380" spans="1:7" x14ac:dyDescent="0.25">
      <c r="A380" t="s">
        <v>379</v>
      </c>
      <c r="B380" t="s">
        <v>1009</v>
      </c>
      <c r="C380" t="str">
        <f t="shared" si="20"/>
        <v>Office Equipments</v>
      </c>
      <c r="D380" t="str">
        <f>IF(B380="Smartphone",D381,
IF(B380="Smartwatch",
"Apple",
IF(B380="Laptop",
" Apple",
IF(B380="Desktop PC",
"Lenovo",
IF(B380="Tablet",
"Samsung",
IF(B380="Headphone",
"Sony",
IF(B380="Camera",
"Sony",
IF(B380="Printer",
"HP",
IF(B380="External Hard Disk",
"Western Digital",
"Other")))))))))</f>
        <v>HP</v>
      </c>
      <c r="E380" t="str">
        <f t="shared" si="21"/>
        <v>Savex Technologies</v>
      </c>
      <c r="F380">
        <f t="shared" si="22"/>
        <v>40000</v>
      </c>
      <c r="G380">
        <f t="shared" si="23"/>
        <v>44000</v>
      </c>
    </row>
    <row r="381" spans="1:7" x14ac:dyDescent="0.25">
      <c r="A381" t="s">
        <v>380</v>
      </c>
      <c r="B381" t="s">
        <v>1012</v>
      </c>
      <c r="C381" t="str">
        <f t="shared" si="20"/>
        <v>Audio Devices</v>
      </c>
      <c r="D381" t="str">
        <f>IF(B381="Smartphone",D382,
IF(B381="Smartwatch",
"Apple",
IF(B381="Laptop",
" Apple",
IF(B381="Desktop PC",
"Lenovo",
IF(B381="Tablet",
"Samsung",
IF(B381="Headphone",
"Sony",
IF(B381="Camera",
"Sony",
IF(B381="Printer",
"HP",
IF(B381="External Hard Disk",
"Western Digital",
"Other")))))))))</f>
        <v>Sony</v>
      </c>
      <c r="E381" t="str">
        <f t="shared" si="21"/>
        <v>Supertron Electronics</v>
      </c>
      <c r="F381">
        <f t="shared" si="22"/>
        <v>60000</v>
      </c>
      <c r="G381">
        <f t="shared" si="23"/>
        <v>66000</v>
      </c>
    </row>
    <row r="382" spans="1:7" x14ac:dyDescent="0.25">
      <c r="A382" t="s">
        <v>381</v>
      </c>
      <c r="B382" t="s">
        <v>1007</v>
      </c>
      <c r="C382" t="str">
        <f t="shared" si="20"/>
        <v>Mobile and Wearables</v>
      </c>
      <c r="D382" t="str">
        <f>IF(B382="Smartphone",D383,
IF(B382="Smartwatch",
"Apple",
IF(B382="Laptop",
" Apple",
IF(B382="Desktop PC",
"Lenovo",
IF(B382="Tablet",
"Samsung",
IF(B382="Headphone",
"Sony",
IF(B382="Camera",
"Sony",
IF(B382="Printer",
"HP",
IF(B382="External Hard Disk",
"Western Digital",
"Other")))))))))</f>
        <v>Samsung</v>
      </c>
      <c r="E382" t="str">
        <f t="shared" si="21"/>
        <v>Rashi Peripherals</v>
      </c>
      <c r="F382">
        <f t="shared" si="22"/>
        <v>30000</v>
      </c>
      <c r="G382">
        <f t="shared" si="23"/>
        <v>33000</v>
      </c>
    </row>
    <row r="383" spans="1:7" x14ac:dyDescent="0.25">
      <c r="A383" t="s">
        <v>382</v>
      </c>
      <c r="B383" t="s">
        <v>1005</v>
      </c>
      <c r="C383" t="str">
        <f t="shared" si="20"/>
        <v>Electronics (Computing Devices)</v>
      </c>
      <c r="D383" t="str">
        <f>IF(B383="Smartphone",D384,
IF(B383="Smartwatch",
"Apple",
IF(B383="Laptop",
" Apple",
IF(B383="Desktop PC",
"Lenovo",
IF(B383="Tablet",
"Samsung",
IF(B383="Headphone",
"Sony",
IF(B383="Camera",
"Sony",
IF(B383="Printer",
"HP",
IF(B383="External Hard Disk",
"Western Digital",
"Other")))))))))</f>
        <v>Samsung</v>
      </c>
      <c r="E383" t="str">
        <f t="shared" si="21"/>
        <v>Rashi Peripherals</v>
      </c>
      <c r="F383">
        <f t="shared" si="22"/>
        <v>30000</v>
      </c>
      <c r="G383">
        <f t="shared" si="23"/>
        <v>33000</v>
      </c>
    </row>
    <row r="384" spans="1:7" x14ac:dyDescent="0.25">
      <c r="A384" t="s">
        <v>383</v>
      </c>
      <c r="B384" t="s">
        <v>1002</v>
      </c>
      <c r="C384" t="str">
        <f t="shared" si="20"/>
        <v>Electronics (Computing Devices)</v>
      </c>
      <c r="D384" t="str">
        <f>IF(B384="Smartphone",D385,
IF(B384="Smartwatch",
"Apple",
IF(B384="Laptop",
" Apple",
IF(B384="Desktop PC",
"Lenovo",
IF(B384="Tablet",
"Samsung",
IF(B384="Headphone",
"Sony",
IF(B384="Camera",
"Sony",
IF(B384="Printer",
"HP",
IF(B384="External Hard Disk",
"Western Digital",
"Other")))))))))</f>
        <v>Lenovo</v>
      </c>
      <c r="E384" t="str">
        <f t="shared" si="21"/>
        <v>Savex Technologies</v>
      </c>
      <c r="F384">
        <f t="shared" si="22"/>
        <v>45000</v>
      </c>
      <c r="G384">
        <f t="shared" si="23"/>
        <v>49500.000000000007</v>
      </c>
    </row>
    <row r="385" spans="1:7" x14ac:dyDescent="0.25">
      <c r="A385" t="s">
        <v>384</v>
      </c>
      <c r="B385" t="s">
        <v>1004</v>
      </c>
      <c r="C385" t="str">
        <f t="shared" si="20"/>
        <v>Electronics (Computing Devices)</v>
      </c>
      <c r="D385" t="str">
        <f>IF(B385="Smartphone",D386,
IF(B385="Smartwatch",
"Apple",
IF(B385="Laptop",
" Apple",
IF(B385="Desktop PC",
"Lenovo",
IF(B385="Tablet",
"Samsung",
IF(B385="Headphone",
"Sony",
IF(B385="Camera",
"Sony",
IF(B385="Printer",
"HP",
IF(B385="External Hard Disk",
"Western Digital",
"Other")))))))))</f>
        <v xml:space="preserve"> Apple</v>
      </c>
      <c r="E385" t="str">
        <f t="shared" si="21"/>
        <v>Ingram Micron India</v>
      </c>
      <c r="F385">
        <f t="shared" si="22"/>
        <v>35000</v>
      </c>
      <c r="G385">
        <f t="shared" si="23"/>
        <v>38500</v>
      </c>
    </row>
    <row r="386" spans="1:7" x14ac:dyDescent="0.25">
      <c r="A386" t="s">
        <v>385</v>
      </c>
      <c r="B386" t="s">
        <v>1002</v>
      </c>
      <c r="C386" t="str">
        <f t="shared" si="20"/>
        <v>Electronics (Computing Devices)</v>
      </c>
      <c r="D386" t="str">
        <f>IF(B386="Smartphone",D387,
IF(B386="Smartwatch",
"Apple",
IF(B386="Laptop",
" Apple",
IF(B386="Desktop PC",
"Lenovo",
IF(B386="Tablet",
"Samsung",
IF(B386="Headphone",
"Sony",
IF(B386="Camera",
"Sony",
IF(B386="Printer",
"HP",
IF(B386="External Hard Disk",
"Western Digital",
"Other")))))))))</f>
        <v>Lenovo</v>
      </c>
      <c r="E386" t="str">
        <f t="shared" si="21"/>
        <v>Savex Technologies</v>
      </c>
      <c r="F386">
        <f t="shared" si="22"/>
        <v>45000</v>
      </c>
      <c r="G386">
        <f t="shared" si="23"/>
        <v>49500.000000000007</v>
      </c>
    </row>
    <row r="387" spans="1:7" x14ac:dyDescent="0.25">
      <c r="A387" t="s">
        <v>386</v>
      </c>
      <c r="B387" t="s">
        <v>1001</v>
      </c>
      <c r="C387" t="str">
        <f t="shared" ref="C387:C450" si="24">IF(OR(B387="Laptop",B387="Desktop PC",B387="Tablet",B387="E-Reader"),
"Electronics (Computing Devices)",
IF(OR(B387="Smartphone",B387="Smartwatch"),
"Mobile and Wearables",
IF(B387="Headphone",
"Audio Devices",
IF(OR(B387="Printer",B387="Camera"),
"Office Equipments",
IF(B387="External Hard Disk",
"Storage Devices",
"Other")))))</f>
        <v>Mobile and Wearables</v>
      </c>
      <c r="D387" t="str">
        <f>IF(B387="Smartphone",D388,
IF(B387="Smartwatch",
"Apple",
IF(B387="Laptop",
" Apple",
IF(B387="Desktop PC",
"Lenovo",
IF(B387="Tablet",
"Samsung",
IF(B387="Headphone",
"Sony",
IF(B387="Camera",
"Sony",
IF(B387="Printer",
"HP",
IF(B387="External Hard Disk",
"Western Digital",
"Other")))))))))</f>
        <v>Apple</v>
      </c>
      <c r="E387" t="str">
        <f t="shared" ref="E387:E450" si="25">IF(D387="Apple",
"Redington India",
IF(D387="Samsung",
"Rashi Peripherals",
IF(D387="Sony",
"Supertron Electronics",
IF(OR(D387="Lenovo",D387="HP",D387="Dell"),
"Savex Technologies",
IF(C387="Printer",
"Rashi Peripherals",
IF(C387="Camera",
"Redington India",
IF(C387="External Hard Disk",
"Supertron Electronics",
"Ingram Micron India")))))))</f>
        <v>Redington India</v>
      </c>
      <c r="F387">
        <f t="shared" ref="F387:F450" si="26">IF(D387="Apple",
IF(C387="Smartphone",95000,
IF(C387="Tablet",75000,
IF(C387="Laptop",150000,
IF(C387="Smartwatch",90000,40000)))),
IF(D387="Samsung",
IF(C387="Smartphone",55000,
IF(C387="Tablet",40000,
IF(C387="Smartwatch",25000,30000))),
IF(D387="Lenovo",
IF(C387="Laptop",85000,
IF(C387="Desktop PC",70000,45000)),
IF(D387="HP",
IF(C387="Printer",30000,
IF(C387="Laptop",80000,40000)),
IF(D387="Sony",
IF(C387="Headphone",15000,
IF(C387="Camera",120000,60000)),
IF(C387="External Hard Disk",
IF(D387="Seagate",7000,
IF(D387="Western Digital",8000,7500)),
35000))))))</f>
        <v>40000</v>
      </c>
      <c r="G387">
        <f t="shared" ref="G387:G450" si="27">IF(C387="Smartphone",F387*1.1,
IF(C387="Laptop",F387*1.08,
IF(C387="Tablet",F387*1.12,
IF(C387="Smartwatch",F387*1.15,
IF(C387="Desktop PC",F387*1.07,
IF(C387="Printer",F387*1.18,
IF(C387="Camera",F387*1.12,
IF(C387="Headphone",F387*1.25,
IF(C387="External Hard Disk",F387*1.2,
F387*1.1)))))))))</f>
        <v>44000</v>
      </c>
    </row>
    <row r="388" spans="1:7" x14ac:dyDescent="0.25">
      <c r="A388" t="s">
        <v>387</v>
      </c>
      <c r="B388" t="s">
        <v>1009</v>
      </c>
      <c r="C388" t="str">
        <f t="shared" si="24"/>
        <v>Office Equipments</v>
      </c>
      <c r="D388" t="str">
        <f>IF(B388="Smartphone",D389,
IF(B388="Smartwatch",
"Apple",
IF(B388="Laptop",
" Apple",
IF(B388="Desktop PC",
"Lenovo",
IF(B388="Tablet",
"Samsung",
IF(B388="Headphone",
"Sony",
IF(B388="Camera",
"Sony",
IF(B388="Printer",
"HP",
IF(B388="External Hard Disk",
"Western Digital",
"Other")))))))))</f>
        <v>HP</v>
      </c>
      <c r="E388" t="str">
        <f t="shared" si="25"/>
        <v>Savex Technologies</v>
      </c>
      <c r="F388">
        <f t="shared" si="26"/>
        <v>40000</v>
      </c>
      <c r="G388">
        <f t="shared" si="27"/>
        <v>44000</v>
      </c>
    </row>
    <row r="389" spans="1:7" x14ac:dyDescent="0.25">
      <c r="A389" t="s">
        <v>388</v>
      </c>
      <c r="B389" t="s">
        <v>1010</v>
      </c>
      <c r="C389" t="str">
        <f t="shared" si="24"/>
        <v>Office Equipments</v>
      </c>
      <c r="D389" t="str">
        <f>IF(B389="Smartphone",D390,
IF(B389="Smartwatch",
"Apple",
IF(B389="Laptop",
" Apple",
IF(B389="Desktop PC",
"Lenovo",
IF(B389="Tablet",
"Samsung",
IF(B389="Headphone",
"Sony",
IF(B389="Camera",
"Sony",
IF(B389="Printer",
"HP",
IF(B389="External Hard Disk",
"Western Digital",
"Other")))))))))</f>
        <v>Sony</v>
      </c>
      <c r="E389" t="str">
        <f t="shared" si="25"/>
        <v>Supertron Electronics</v>
      </c>
      <c r="F389">
        <f t="shared" si="26"/>
        <v>60000</v>
      </c>
      <c r="G389">
        <f t="shared" si="27"/>
        <v>66000</v>
      </c>
    </row>
    <row r="390" spans="1:7" x14ac:dyDescent="0.25">
      <c r="A390" t="s">
        <v>389</v>
      </c>
      <c r="B390" t="s">
        <v>1002</v>
      </c>
      <c r="C390" t="str">
        <f t="shared" si="24"/>
        <v>Electronics (Computing Devices)</v>
      </c>
      <c r="D390" t="str">
        <f>IF(B390="Smartphone",D391,
IF(B390="Smartwatch",
"Apple",
IF(B390="Laptop",
" Apple",
IF(B390="Desktop PC",
"Lenovo",
IF(B390="Tablet",
"Samsung",
IF(B390="Headphone",
"Sony",
IF(B390="Camera",
"Sony",
IF(B390="Printer",
"HP",
IF(B390="External Hard Disk",
"Western Digital",
"Other")))))))))</f>
        <v>Lenovo</v>
      </c>
      <c r="E390" t="str">
        <f t="shared" si="25"/>
        <v>Savex Technologies</v>
      </c>
      <c r="F390">
        <f t="shared" si="26"/>
        <v>45000</v>
      </c>
      <c r="G390">
        <f t="shared" si="27"/>
        <v>49500.000000000007</v>
      </c>
    </row>
    <row r="391" spans="1:7" x14ac:dyDescent="0.25">
      <c r="A391" t="s">
        <v>390</v>
      </c>
      <c r="B391" t="s">
        <v>1010</v>
      </c>
      <c r="C391" t="str">
        <f t="shared" si="24"/>
        <v>Office Equipments</v>
      </c>
      <c r="D391" t="str">
        <f>IF(B391="Smartphone",D392,
IF(B391="Smartwatch",
"Apple",
IF(B391="Laptop",
" Apple",
IF(B391="Desktop PC",
"Lenovo",
IF(B391="Tablet",
"Samsung",
IF(B391="Headphone",
"Sony",
IF(B391="Camera",
"Sony",
IF(B391="Printer",
"HP",
IF(B391="External Hard Disk",
"Western Digital",
"Other")))))))))</f>
        <v>Sony</v>
      </c>
      <c r="E391" t="str">
        <f t="shared" si="25"/>
        <v>Supertron Electronics</v>
      </c>
      <c r="F391">
        <f t="shared" si="26"/>
        <v>60000</v>
      </c>
      <c r="G391">
        <f t="shared" si="27"/>
        <v>66000</v>
      </c>
    </row>
    <row r="392" spans="1:7" x14ac:dyDescent="0.25">
      <c r="A392" t="s">
        <v>391</v>
      </c>
      <c r="B392" t="s">
        <v>1003</v>
      </c>
      <c r="C392" t="str">
        <f t="shared" si="24"/>
        <v>Electronics (Computing Devices)</v>
      </c>
      <c r="D392" t="str">
        <f>IF(B392="Smartphone",D393,
IF(B392="Smartwatch",
"Apple",
IF(B392="Laptop",
" Apple",
IF(B392="Desktop PC",
"Lenovo",
IF(B392="Tablet",
"Samsung",
IF(B392="Headphone",
"Sony",
IF(B392="Camera",
"Sony",
IF(B392="Printer",
"HP",
IF(B392="External Hard Disk",
"Western Digital",
"Other")))))))))</f>
        <v>Other</v>
      </c>
      <c r="E392" t="str">
        <f t="shared" si="25"/>
        <v>Ingram Micron India</v>
      </c>
      <c r="F392">
        <f t="shared" si="26"/>
        <v>35000</v>
      </c>
      <c r="G392">
        <f t="shared" si="27"/>
        <v>38500</v>
      </c>
    </row>
    <row r="393" spans="1:7" x14ac:dyDescent="0.25">
      <c r="A393" t="s">
        <v>392</v>
      </c>
      <c r="B393" t="s">
        <v>1002</v>
      </c>
      <c r="C393" t="str">
        <f t="shared" si="24"/>
        <v>Electronics (Computing Devices)</v>
      </c>
      <c r="D393" t="str">
        <f>IF(B393="Smartphone",D394,
IF(B393="Smartwatch",
"Apple",
IF(B393="Laptop",
" Apple",
IF(B393="Desktop PC",
"Lenovo",
IF(B393="Tablet",
"Samsung",
IF(B393="Headphone",
"Sony",
IF(B393="Camera",
"Sony",
IF(B393="Printer",
"HP",
IF(B393="External Hard Disk",
"Western Digital",
"Other")))))))))</f>
        <v>Lenovo</v>
      </c>
      <c r="E393" t="str">
        <f t="shared" si="25"/>
        <v>Savex Technologies</v>
      </c>
      <c r="F393">
        <f t="shared" si="26"/>
        <v>45000</v>
      </c>
      <c r="G393">
        <f t="shared" si="27"/>
        <v>49500.000000000007</v>
      </c>
    </row>
    <row r="394" spans="1:7" x14ac:dyDescent="0.25">
      <c r="A394" t="s">
        <v>393</v>
      </c>
      <c r="B394" t="s">
        <v>1005</v>
      </c>
      <c r="C394" t="str">
        <f t="shared" si="24"/>
        <v>Electronics (Computing Devices)</v>
      </c>
      <c r="D394" t="str">
        <f>IF(B394="Smartphone",D395,
IF(B394="Smartwatch",
"Apple",
IF(B394="Laptop",
" Apple",
IF(B394="Desktop PC",
"Lenovo",
IF(B394="Tablet",
"Samsung",
IF(B394="Headphone",
"Sony",
IF(B394="Camera",
"Sony",
IF(B394="Printer",
"HP",
IF(B394="External Hard Disk",
"Western Digital",
"Other")))))))))</f>
        <v>Samsung</v>
      </c>
      <c r="E394" t="str">
        <f t="shared" si="25"/>
        <v>Rashi Peripherals</v>
      </c>
      <c r="F394">
        <f t="shared" si="26"/>
        <v>30000</v>
      </c>
      <c r="G394">
        <f t="shared" si="27"/>
        <v>33000</v>
      </c>
    </row>
    <row r="395" spans="1:7" x14ac:dyDescent="0.25">
      <c r="A395" t="s">
        <v>394</v>
      </c>
      <c r="B395" t="s">
        <v>1002</v>
      </c>
      <c r="C395" t="str">
        <f t="shared" si="24"/>
        <v>Electronics (Computing Devices)</v>
      </c>
      <c r="D395" t="str">
        <f>IF(B395="Smartphone",D396,
IF(B395="Smartwatch",
"Apple",
IF(B395="Laptop",
" Apple",
IF(B395="Desktop PC",
"Lenovo",
IF(B395="Tablet",
"Samsung",
IF(B395="Headphone",
"Sony",
IF(B395="Camera",
"Sony",
IF(B395="Printer",
"HP",
IF(B395="External Hard Disk",
"Western Digital",
"Other")))))))))</f>
        <v>Lenovo</v>
      </c>
      <c r="E395" t="str">
        <f t="shared" si="25"/>
        <v>Savex Technologies</v>
      </c>
      <c r="F395">
        <f t="shared" si="26"/>
        <v>45000</v>
      </c>
      <c r="G395">
        <f t="shared" si="27"/>
        <v>49500.000000000007</v>
      </c>
    </row>
    <row r="396" spans="1:7" x14ac:dyDescent="0.25">
      <c r="A396" t="s">
        <v>395</v>
      </c>
      <c r="B396" t="s">
        <v>1012</v>
      </c>
      <c r="C396" t="str">
        <f t="shared" si="24"/>
        <v>Audio Devices</v>
      </c>
      <c r="D396" t="str">
        <f>IF(B396="Smartphone",D397,
IF(B396="Smartwatch",
"Apple",
IF(B396="Laptop",
" Apple",
IF(B396="Desktop PC",
"Lenovo",
IF(B396="Tablet",
"Samsung",
IF(B396="Headphone",
"Sony",
IF(B396="Camera",
"Sony",
IF(B396="Printer",
"HP",
IF(B396="External Hard Disk",
"Western Digital",
"Other")))))))))</f>
        <v>Sony</v>
      </c>
      <c r="E396" t="str">
        <f t="shared" si="25"/>
        <v>Supertron Electronics</v>
      </c>
      <c r="F396">
        <f t="shared" si="26"/>
        <v>60000</v>
      </c>
      <c r="G396">
        <f t="shared" si="27"/>
        <v>66000</v>
      </c>
    </row>
    <row r="397" spans="1:7" x14ac:dyDescent="0.25">
      <c r="A397" t="s">
        <v>396</v>
      </c>
      <c r="B397" t="s">
        <v>1012</v>
      </c>
      <c r="C397" t="str">
        <f t="shared" si="24"/>
        <v>Audio Devices</v>
      </c>
      <c r="D397" t="str">
        <f>IF(B397="Smartphone",D398,
IF(B397="Smartwatch",
"Apple",
IF(B397="Laptop",
" Apple",
IF(B397="Desktop PC",
"Lenovo",
IF(B397="Tablet",
"Samsung",
IF(B397="Headphone",
"Sony",
IF(B397="Camera",
"Sony",
IF(B397="Printer",
"HP",
IF(B397="External Hard Disk",
"Western Digital",
"Other")))))))))</f>
        <v>Sony</v>
      </c>
      <c r="E397" t="str">
        <f t="shared" si="25"/>
        <v>Supertron Electronics</v>
      </c>
      <c r="F397">
        <f t="shared" si="26"/>
        <v>60000</v>
      </c>
      <c r="G397">
        <f t="shared" si="27"/>
        <v>66000</v>
      </c>
    </row>
    <row r="398" spans="1:7" x14ac:dyDescent="0.25">
      <c r="A398" t="s">
        <v>397</v>
      </c>
      <c r="B398" t="s">
        <v>1013</v>
      </c>
      <c r="C398" t="str">
        <f t="shared" si="24"/>
        <v>Storage Devices</v>
      </c>
      <c r="D398" t="str">
        <f>IF(B398="Smartphone",D399,
IF(B398="Smartwatch",
"Apple",
IF(B398="Laptop",
" Apple",
IF(B398="Desktop PC",
"Lenovo",
IF(B398="Tablet",
"Samsung",
IF(B398="Headphone",
"Sony",
IF(B398="Camera",
"Sony",
IF(B398="Printer",
"HP",
IF(B398="External Hard Disk",
"Western Digital",
"Other")))))))))</f>
        <v>Western Digital</v>
      </c>
      <c r="E398" t="str">
        <f t="shared" si="25"/>
        <v>Ingram Micron India</v>
      </c>
      <c r="F398">
        <f t="shared" si="26"/>
        <v>35000</v>
      </c>
      <c r="G398">
        <f t="shared" si="27"/>
        <v>38500</v>
      </c>
    </row>
    <row r="399" spans="1:7" x14ac:dyDescent="0.25">
      <c r="A399" t="s">
        <v>398</v>
      </c>
      <c r="B399" t="s">
        <v>1007</v>
      </c>
      <c r="C399" t="str">
        <f t="shared" si="24"/>
        <v>Mobile and Wearables</v>
      </c>
      <c r="D399" t="str">
        <f>IF(B399="Smartphone",D400,
IF(B399="Smartwatch",
"Apple",
IF(B399="Laptop",
" Apple",
IF(B399="Desktop PC",
"Lenovo",
IF(B399="Tablet",
"Samsung",
IF(B399="Headphone",
"Sony",
IF(B399="Camera",
"Sony",
IF(B399="Printer",
"HP",
IF(B399="External Hard Disk",
"Western Digital",
"Other")))))))))</f>
        <v>Other</v>
      </c>
      <c r="E399" t="str">
        <f t="shared" si="25"/>
        <v>Ingram Micron India</v>
      </c>
      <c r="F399">
        <f t="shared" si="26"/>
        <v>35000</v>
      </c>
      <c r="G399">
        <f t="shared" si="27"/>
        <v>38500</v>
      </c>
    </row>
    <row r="400" spans="1:7" x14ac:dyDescent="0.25">
      <c r="A400" t="s">
        <v>399</v>
      </c>
      <c r="B400" t="s">
        <v>1003</v>
      </c>
      <c r="C400" t="str">
        <f t="shared" si="24"/>
        <v>Electronics (Computing Devices)</v>
      </c>
      <c r="D400" t="str">
        <f>IF(B400="Smartphone",D401,
IF(B400="Smartwatch",
"Apple",
IF(B400="Laptop",
" Apple",
IF(B400="Desktop PC",
"Lenovo",
IF(B400="Tablet",
"Samsung",
IF(B400="Headphone",
"Sony",
IF(B400="Camera",
"Sony",
IF(B400="Printer",
"HP",
IF(B400="External Hard Disk",
"Western Digital",
"Other")))))))))</f>
        <v>Other</v>
      </c>
      <c r="E400" t="str">
        <f t="shared" si="25"/>
        <v>Ingram Micron India</v>
      </c>
      <c r="F400">
        <f t="shared" si="26"/>
        <v>35000</v>
      </c>
      <c r="G400">
        <f t="shared" si="27"/>
        <v>38500</v>
      </c>
    </row>
    <row r="401" spans="1:7" x14ac:dyDescent="0.25">
      <c r="A401" t="s">
        <v>400</v>
      </c>
      <c r="B401" t="s">
        <v>1007</v>
      </c>
      <c r="C401" t="str">
        <f t="shared" si="24"/>
        <v>Mobile and Wearables</v>
      </c>
      <c r="D401" t="str">
        <f>IF(B401="Smartphone",D402,
IF(B401="Smartwatch",
"Apple",
IF(B401="Laptop",
" Apple",
IF(B401="Desktop PC",
"Lenovo",
IF(B401="Tablet",
"Samsung",
IF(B401="Headphone",
"Sony",
IF(B401="Camera",
"Sony",
IF(B401="Printer",
"HP",
IF(B401="External Hard Disk",
"Western Digital",
"Other")))))))))</f>
        <v>Western Digital</v>
      </c>
      <c r="E401" t="str">
        <f t="shared" si="25"/>
        <v>Ingram Micron India</v>
      </c>
      <c r="F401">
        <f t="shared" si="26"/>
        <v>35000</v>
      </c>
      <c r="G401">
        <f t="shared" si="27"/>
        <v>38500</v>
      </c>
    </row>
    <row r="402" spans="1:7" x14ac:dyDescent="0.25">
      <c r="A402" t="s">
        <v>401</v>
      </c>
      <c r="B402" t="s">
        <v>1013</v>
      </c>
      <c r="C402" t="str">
        <f t="shared" si="24"/>
        <v>Storage Devices</v>
      </c>
      <c r="D402" t="str">
        <f>IF(B402="Smartphone",D403,
IF(B402="Smartwatch",
"Apple",
IF(B402="Laptop",
" Apple",
IF(B402="Desktop PC",
"Lenovo",
IF(B402="Tablet",
"Samsung",
IF(B402="Headphone",
"Sony",
IF(B402="Camera",
"Sony",
IF(B402="Printer",
"HP",
IF(B402="External Hard Disk",
"Western Digital",
"Other")))))))))</f>
        <v>Western Digital</v>
      </c>
      <c r="E402" t="str">
        <f t="shared" si="25"/>
        <v>Ingram Micron India</v>
      </c>
      <c r="F402">
        <f t="shared" si="26"/>
        <v>35000</v>
      </c>
      <c r="G402">
        <f t="shared" si="27"/>
        <v>38500</v>
      </c>
    </row>
    <row r="403" spans="1:7" x14ac:dyDescent="0.25">
      <c r="A403" t="s">
        <v>402</v>
      </c>
      <c r="B403" t="s">
        <v>1001</v>
      </c>
      <c r="C403" t="str">
        <f t="shared" si="24"/>
        <v>Mobile and Wearables</v>
      </c>
      <c r="D403" t="str">
        <f>IF(B403="Smartphone",D404,
IF(B403="Smartwatch",
"Apple",
IF(B403="Laptop",
" Apple",
IF(B403="Desktop PC",
"Lenovo",
IF(B403="Tablet",
"Samsung",
IF(B403="Headphone",
"Sony",
IF(B403="Camera",
"Sony",
IF(B403="Printer",
"HP",
IF(B403="External Hard Disk",
"Western Digital",
"Other")))))))))</f>
        <v>Apple</v>
      </c>
      <c r="E403" t="str">
        <f t="shared" si="25"/>
        <v>Redington India</v>
      </c>
      <c r="F403">
        <f t="shared" si="26"/>
        <v>40000</v>
      </c>
      <c r="G403">
        <f t="shared" si="27"/>
        <v>44000</v>
      </c>
    </row>
    <row r="404" spans="1:7" x14ac:dyDescent="0.25">
      <c r="A404" t="s">
        <v>403</v>
      </c>
      <c r="B404" t="s">
        <v>1003</v>
      </c>
      <c r="C404" t="str">
        <f t="shared" si="24"/>
        <v>Electronics (Computing Devices)</v>
      </c>
      <c r="D404" t="str">
        <f>IF(B404="Smartphone",D405,
IF(B404="Smartwatch",
"Apple",
IF(B404="Laptop",
" Apple",
IF(B404="Desktop PC",
"Lenovo",
IF(B404="Tablet",
"Samsung",
IF(B404="Headphone",
"Sony",
IF(B404="Camera",
"Sony",
IF(B404="Printer",
"HP",
IF(B404="External Hard Disk",
"Western Digital",
"Other")))))))))</f>
        <v>Other</v>
      </c>
      <c r="E404" t="str">
        <f t="shared" si="25"/>
        <v>Ingram Micron India</v>
      </c>
      <c r="F404">
        <f t="shared" si="26"/>
        <v>35000</v>
      </c>
      <c r="G404">
        <f t="shared" si="27"/>
        <v>38500</v>
      </c>
    </row>
    <row r="405" spans="1:7" x14ac:dyDescent="0.25">
      <c r="A405" t="s">
        <v>404</v>
      </c>
      <c r="B405" t="s">
        <v>1009</v>
      </c>
      <c r="C405" t="str">
        <f t="shared" si="24"/>
        <v>Office Equipments</v>
      </c>
      <c r="D405" t="str">
        <f>IF(B405="Smartphone",D406,
IF(B405="Smartwatch",
"Apple",
IF(B405="Laptop",
" Apple",
IF(B405="Desktop PC",
"Lenovo",
IF(B405="Tablet",
"Samsung",
IF(B405="Headphone",
"Sony",
IF(B405="Camera",
"Sony",
IF(B405="Printer",
"HP",
IF(B405="External Hard Disk",
"Western Digital",
"Other")))))))))</f>
        <v>HP</v>
      </c>
      <c r="E405" t="str">
        <f t="shared" si="25"/>
        <v>Savex Technologies</v>
      </c>
      <c r="F405">
        <f t="shared" si="26"/>
        <v>40000</v>
      </c>
      <c r="G405">
        <f t="shared" si="27"/>
        <v>44000</v>
      </c>
    </row>
    <row r="406" spans="1:7" x14ac:dyDescent="0.25">
      <c r="A406" t="s">
        <v>405</v>
      </c>
      <c r="B406" t="s">
        <v>1012</v>
      </c>
      <c r="C406" t="str">
        <f t="shared" si="24"/>
        <v>Audio Devices</v>
      </c>
      <c r="D406" t="str">
        <f>IF(B406="Smartphone",D407,
IF(B406="Smartwatch",
"Apple",
IF(B406="Laptop",
" Apple",
IF(B406="Desktop PC",
"Lenovo",
IF(B406="Tablet",
"Samsung",
IF(B406="Headphone",
"Sony",
IF(B406="Camera",
"Sony",
IF(B406="Printer",
"HP",
IF(B406="External Hard Disk",
"Western Digital",
"Other")))))))))</f>
        <v>Sony</v>
      </c>
      <c r="E406" t="str">
        <f t="shared" si="25"/>
        <v>Supertron Electronics</v>
      </c>
      <c r="F406">
        <f t="shared" si="26"/>
        <v>60000</v>
      </c>
      <c r="G406">
        <f t="shared" si="27"/>
        <v>66000</v>
      </c>
    </row>
    <row r="407" spans="1:7" x14ac:dyDescent="0.25">
      <c r="A407" t="s">
        <v>406</v>
      </c>
      <c r="B407" t="s">
        <v>1009</v>
      </c>
      <c r="C407" t="str">
        <f t="shared" si="24"/>
        <v>Office Equipments</v>
      </c>
      <c r="D407" t="str">
        <f>IF(B407="Smartphone",D408,
IF(B407="Smartwatch",
"Apple",
IF(B407="Laptop",
" Apple",
IF(B407="Desktop PC",
"Lenovo",
IF(B407="Tablet",
"Samsung",
IF(B407="Headphone",
"Sony",
IF(B407="Camera",
"Sony",
IF(B407="Printer",
"HP",
IF(B407="External Hard Disk",
"Western Digital",
"Other")))))))))</f>
        <v>HP</v>
      </c>
      <c r="E407" t="str">
        <f t="shared" si="25"/>
        <v>Savex Technologies</v>
      </c>
      <c r="F407">
        <f t="shared" si="26"/>
        <v>40000</v>
      </c>
      <c r="G407">
        <f t="shared" si="27"/>
        <v>44000</v>
      </c>
    </row>
    <row r="408" spans="1:7" x14ac:dyDescent="0.25">
      <c r="A408" t="s">
        <v>407</v>
      </c>
      <c r="B408" t="s">
        <v>1013</v>
      </c>
      <c r="C408" t="str">
        <f t="shared" si="24"/>
        <v>Storage Devices</v>
      </c>
      <c r="D408" t="str">
        <f>IF(B408="Smartphone",D409,
IF(B408="Smartwatch",
"Apple",
IF(B408="Laptop",
" Apple",
IF(B408="Desktop PC",
"Lenovo",
IF(B408="Tablet",
"Samsung",
IF(B408="Headphone",
"Sony",
IF(B408="Camera",
"Sony",
IF(B408="Printer",
"HP",
IF(B408="External Hard Disk",
"Western Digital",
"Other")))))))))</f>
        <v>Western Digital</v>
      </c>
      <c r="E408" t="str">
        <f t="shared" si="25"/>
        <v>Ingram Micron India</v>
      </c>
      <c r="F408">
        <f t="shared" si="26"/>
        <v>35000</v>
      </c>
      <c r="G408">
        <f t="shared" si="27"/>
        <v>38500</v>
      </c>
    </row>
    <row r="409" spans="1:7" x14ac:dyDescent="0.25">
      <c r="A409" t="s">
        <v>408</v>
      </c>
      <c r="B409" t="s">
        <v>1009</v>
      </c>
      <c r="C409" t="str">
        <f t="shared" si="24"/>
        <v>Office Equipments</v>
      </c>
      <c r="D409" t="str">
        <f>IF(B409="Smartphone",D410,
IF(B409="Smartwatch",
"Apple",
IF(B409="Laptop",
" Apple",
IF(B409="Desktop PC",
"Lenovo",
IF(B409="Tablet",
"Samsung",
IF(B409="Headphone",
"Sony",
IF(B409="Camera",
"Sony",
IF(B409="Printer",
"HP",
IF(B409="External Hard Disk",
"Western Digital",
"Other")))))))))</f>
        <v>HP</v>
      </c>
      <c r="E409" t="str">
        <f t="shared" si="25"/>
        <v>Savex Technologies</v>
      </c>
      <c r="F409">
        <f t="shared" si="26"/>
        <v>40000</v>
      </c>
      <c r="G409">
        <f t="shared" si="27"/>
        <v>44000</v>
      </c>
    </row>
    <row r="410" spans="1:7" x14ac:dyDescent="0.25">
      <c r="A410" t="s">
        <v>409</v>
      </c>
      <c r="B410" t="s">
        <v>1007</v>
      </c>
      <c r="C410" t="str">
        <f t="shared" si="24"/>
        <v>Mobile and Wearables</v>
      </c>
      <c r="D410" t="str">
        <f>IF(B410="Smartphone",D411,
IF(B410="Smartwatch",
"Apple",
IF(B410="Laptop",
" Apple",
IF(B410="Desktop PC",
"Lenovo",
IF(B410="Tablet",
"Samsung",
IF(B410="Headphone",
"Sony",
IF(B410="Camera",
"Sony",
IF(B410="Printer",
"HP",
IF(B410="External Hard Disk",
"Western Digital",
"Other")))))))))</f>
        <v>Apple</v>
      </c>
      <c r="E410" t="str">
        <f t="shared" si="25"/>
        <v>Redington India</v>
      </c>
      <c r="F410">
        <f t="shared" si="26"/>
        <v>40000</v>
      </c>
      <c r="G410">
        <f t="shared" si="27"/>
        <v>44000</v>
      </c>
    </row>
    <row r="411" spans="1:7" x14ac:dyDescent="0.25">
      <c r="A411" t="s">
        <v>410</v>
      </c>
      <c r="B411" t="s">
        <v>1001</v>
      </c>
      <c r="C411" t="str">
        <f t="shared" si="24"/>
        <v>Mobile and Wearables</v>
      </c>
      <c r="D411" t="str">
        <f>IF(B411="Smartphone",D412,
IF(B411="Smartwatch",
"Apple",
IF(B411="Laptop",
" Apple",
IF(B411="Desktop PC",
"Lenovo",
IF(B411="Tablet",
"Samsung",
IF(B411="Headphone",
"Sony",
IF(B411="Camera",
"Sony",
IF(B411="Printer",
"HP",
IF(B411="External Hard Disk",
"Western Digital",
"Other")))))))))</f>
        <v>Apple</v>
      </c>
      <c r="E411" t="str">
        <f t="shared" si="25"/>
        <v>Redington India</v>
      </c>
      <c r="F411">
        <f t="shared" si="26"/>
        <v>40000</v>
      </c>
      <c r="G411">
        <f t="shared" si="27"/>
        <v>44000</v>
      </c>
    </row>
    <row r="412" spans="1:7" x14ac:dyDescent="0.25">
      <c r="A412" t="s">
        <v>411</v>
      </c>
      <c r="B412" t="s">
        <v>1003</v>
      </c>
      <c r="C412" t="str">
        <f t="shared" si="24"/>
        <v>Electronics (Computing Devices)</v>
      </c>
      <c r="D412" t="str">
        <f>IF(B412="Smartphone",D413,
IF(B412="Smartwatch",
"Apple",
IF(B412="Laptop",
" Apple",
IF(B412="Desktop PC",
"Lenovo",
IF(B412="Tablet",
"Samsung",
IF(B412="Headphone",
"Sony",
IF(B412="Camera",
"Sony",
IF(B412="Printer",
"HP",
IF(B412="External Hard Disk",
"Western Digital",
"Other")))))))))</f>
        <v>Other</v>
      </c>
      <c r="E412" t="str">
        <f t="shared" si="25"/>
        <v>Ingram Micron India</v>
      </c>
      <c r="F412">
        <f t="shared" si="26"/>
        <v>35000</v>
      </c>
      <c r="G412">
        <f t="shared" si="27"/>
        <v>38500</v>
      </c>
    </row>
    <row r="413" spans="1:7" x14ac:dyDescent="0.25">
      <c r="A413" t="s">
        <v>412</v>
      </c>
      <c r="B413" t="s">
        <v>1009</v>
      </c>
      <c r="C413" t="str">
        <f t="shared" si="24"/>
        <v>Office Equipments</v>
      </c>
      <c r="D413" t="str">
        <f>IF(B413="Smartphone",D414,
IF(B413="Smartwatch",
"Apple",
IF(B413="Laptop",
" Apple",
IF(B413="Desktop PC",
"Lenovo",
IF(B413="Tablet",
"Samsung",
IF(B413="Headphone",
"Sony",
IF(B413="Camera",
"Sony",
IF(B413="Printer",
"HP",
IF(B413="External Hard Disk",
"Western Digital",
"Other")))))))))</f>
        <v>HP</v>
      </c>
      <c r="E413" t="str">
        <f t="shared" si="25"/>
        <v>Savex Technologies</v>
      </c>
      <c r="F413">
        <f t="shared" si="26"/>
        <v>40000</v>
      </c>
      <c r="G413">
        <f t="shared" si="27"/>
        <v>44000</v>
      </c>
    </row>
    <row r="414" spans="1:7" x14ac:dyDescent="0.25">
      <c r="A414" t="s">
        <v>413</v>
      </c>
      <c r="B414" t="s">
        <v>1007</v>
      </c>
      <c r="C414" t="str">
        <f t="shared" si="24"/>
        <v>Mobile and Wearables</v>
      </c>
      <c r="D414" t="str">
        <f>IF(B414="Smartphone",D415,
IF(B414="Smartwatch",
"Apple",
IF(B414="Laptop",
" Apple",
IF(B414="Desktop PC",
"Lenovo",
IF(B414="Tablet",
"Samsung",
IF(B414="Headphone",
"Sony",
IF(B414="Camera",
"Sony",
IF(B414="Printer",
"HP",
IF(B414="External Hard Disk",
"Western Digital",
"Other")))))))))</f>
        <v>Western Digital</v>
      </c>
      <c r="E414" t="str">
        <f t="shared" si="25"/>
        <v>Ingram Micron India</v>
      </c>
      <c r="F414">
        <f t="shared" si="26"/>
        <v>35000</v>
      </c>
      <c r="G414">
        <f t="shared" si="27"/>
        <v>38500</v>
      </c>
    </row>
    <row r="415" spans="1:7" x14ac:dyDescent="0.25">
      <c r="A415" t="s">
        <v>414</v>
      </c>
      <c r="B415" t="s">
        <v>1007</v>
      </c>
      <c r="C415" t="str">
        <f t="shared" si="24"/>
        <v>Mobile and Wearables</v>
      </c>
      <c r="D415" t="str">
        <f>IF(B415="Smartphone",D416,
IF(B415="Smartwatch",
"Apple",
IF(B415="Laptop",
" Apple",
IF(B415="Desktop PC",
"Lenovo",
IF(B415="Tablet",
"Samsung",
IF(B415="Headphone",
"Sony",
IF(B415="Camera",
"Sony",
IF(B415="Printer",
"HP",
IF(B415="External Hard Disk",
"Western Digital",
"Other")))))))))</f>
        <v>Western Digital</v>
      </c>
      <c r="E415" t="str">
        <f t="shared" si="25"/>
        <v>Ingram Micron India</v>
      </c>
      <c r="F415">
        <f t="shared" si="26"/>
        <v>35000</v>
      </c>
      <c r="G415">
        <f t="shared" si="27"/>
        <v>38500</v>
      </c>
    </row>
    <row r="416" spans="1:7" x14ac:dyDescent="0.25">
      <c r="A416" t="s">
        <v>415</v>
      </c>
      <c r="B416" t="s">
        <v>1013</v>
      </c>
      <c r="C416" t="str">
        <f t="shared" si="24"/>
        <v>Storage Devices</v>
      </c>
      <c r="D416" t="str">
        <f>IF(B416="Smartphone",D417,
IF(B416="Smartwatch",
"Apple",
IF(B416="Laptop",
" Apple",
IF(B416="Desktop PC",
"Lenovo",
IF(B416="Tablet",
"Samsung",
IF(B416="Headphone",
"Sony",
IF(B416="Camera",
"Sony",
IF(B416="Printer",
"HP",
IF(B416="External Hard Disk",
"Western Digital",
"Other")))))))))</f>
        <v>Western Digital</v>
      </c>
      <c r="E416" t="str">
        <f t="shared" si="25"/>
        <v>Ingram Micron India</v>
      </c>
      <c r="F416">
        <f t="shared" si="26"/>
        <v>35000</v>
      </c>
      <c r="G416">
        <f t="shared" si="27"/>
        <v>38500</v>
      </c>
    </row>
    <row r="417" spans="1:7" x14ac:dyDescent="0.25">
      <c r="A417" t="s">
        <v>416</v>
      </c>
      <c r="B417" t="s">
        <v>1005</v>
      </c>
      <c r="C417" t="str">
        <f t="shared" si="24"/>
        <v>Electronics (Computing Devices)</v>
      </c>
      <c r="D417" t="str">
        <f>IF(B417="Smartphone",D418,
IF(B417="Smartwatch",
"Apple",
IF(B417="Laptop",
" Apple",
IF(B417="Desktop PC",
"Lenovo",
IF(B417="Tablet",
"Samsung",
IF(B417="Headphone",
"Sony",
IF(B417="Camera",
"Sony",
IF(B417="Printer",
"HP",
IF(B417="External Hard Disk",
"Western Digital",
"Other")))))))))</f>
        <v>Samsung</v>
      </c>
      <c r="E417" t="str">
        <f t="shared" si="25"/>
        <v>Rashi Peripherals</v>
      </c>
      <c r="F417">
        <f t="shared" si="26"/>
        <v>30000</v>
      </c>
      <c r="G417">
        <f t="shared" si="27"/>
        <v>33000</v>
      </c>
    </row>
    <row r="418" spans="1:7" x14ac:dyDescent="0.25">
      <c r="A418" t="s">
        <v>417</v>
      </c>
      <c r="B418" t="s">
        <v>1004</v>
      </c>
      <c r="C418" t="str">
        <f t="shared" si="24"/>
        <v>Electronics (Computing Devices)</v>
      </c>
      <c r="D418" t="str">
        <f>IF(B418="Smartphone",D419,
IF(B418="Smartwatch",
"Apple",
IF(B418="Laptop",
" Apple",
IF(B418="Desktop PC",
"Lenovo",
IF(B418="Tablet",
"Samsung",
IF(B418="Headphone",
"Sony",
IF(B418="Camera",
"Sony",
IF(B418="Printer",
"HP",
IF(B418="External Hard Disk",
"Western Digital",
"Other")))))))))</f>
        <v xml:space="preserve"> Apple</v>
      </c>
      <c r="E418" t="str">
        <f t="shared" si="25"/>
        <v>Ingram Micron India</v>
      </c>
      <c r="F418">
        <f t="shared" si="26"/>
        <v>35000</v>
      </c>
      <c r="G418">
        <f t="shared" si="27"/>
        <v>38500</v>
      </c>
    </row>
    <row r="419" spans="1:7" x14ac:dyDescent="0.25">
      <c r="A419" t="s">
        <v>418</v>
      </c>
      <c r="B419" t="s">
        <v>1010</v>
      </c>
      <c r="C419" t="str">
        <f t="shared" si="24"/>
        <v>Office Equipments</v>
      </c>
      <c r="D419" t="str">
        <f>IF(B419="Smartphone",D420,
IF(B419="Smartwatch",
"Apple",
IF(B419="Laptop",
" Apple",
IF(B419="Desktop PC",
"Lenovo",
IF(B419="Tablet",
"Samsung",
IF(B419="Headphone",
"Sony",
IF(B419="Camera",
"Sony",
IF(B419="Printer",
"HP",
IF(B419="External Hard Disk",
"Western Digital",
"Other")))))))))</f>
        <v>Sony</v>
      </c>
      <c r="E419" t="str">
        <f t="shared" si="25"/>
        <v>Supertron Electronics</v>
      </c>
      <c r="F419">
        <f t="shared" si="26"/>
        <v>60000</v>
      </c>
      <c r="G419">
        <f t="shared" si="27"/>
        <v>66000</v>
      </c>
    </row>
    <row r="420" spans="1:7" x14ac:dyDescent="0.25">
      <c r="A420" t="s">
        <v>419</v>
      </c>
      <c r="B420" t="s">
        <v>1001</v>
      </c>
      <c r="C420" t="str">
        <f t="shared" si="24"/>
        <v>Mobile and Wearables</v>
      </c>
      <c r="D420" t="str">
        <f>IF(B420="Smartphone",D421,
IF(B420="Smartwatch",
"Apple",
IF(B420="Laptop",
" Apple",
IF(B420="Desktop PC",
"Lenovo",
IF(B420="Tablet",
"Samsung",
IF(B420="Headphone",
"Sony",
IF(B420="Camera",
"Sony",
IF(B420="Printer",
"HP",
IF(B420="External Hard Disk",
"Western Digital",
"Other")))))))))</f>
        <v>Apple</v>
      </c>
      <c r="E420" t="str">
        <f t="shared" si="25"/>
        <v>Redington India</v>
      </c>
      <c r="F420">
        <f t="shared" si="26"/>
        <v>40000</v>
      </c>
      <c r="G420">
        <f t="shared" si="27"/>
        <v>44000</v>
      </c>
    </row>
    <row r="421" spans="1:7" x14ac:dyDescent="0.25">
      <c r="A421" t="s">
        <v>420</v>
      </c>
      <c r="B421" t="s">
        <v>1010</v>
      </c>
      <c r="C421" t="str">
        <f t="shared" si="24"/>
        <v>Office Equipments</v>
      </c>
      <c r="D421" t="str">
        <f>IF(B421="Smartphone",D422,
IF(B421="Smartwatch",
"Apple",
IF(B421="Laptop",
" Apple",
IF(B421="Desktop PC",
"Lenovo",
IF(B421="Tablet",
"Samsung",
IF(B421="Headphone",
"Sony",
IF(B421="Camera",
"Sony",
IF(B421="Printer",
"HP",
IF(B421="External Hard Disk",
"Western Digital",
"Other")))))))))</f>
        <v>Sony</v>
      </c>
      <c r="E421" t="str">
        <f t="shared" si="25"/>
        <v>Supertron Electronics</v>
      </c>
      <c r="F421">
        <f t="shared" si="26"/>
        <v>60000</v>
      </c>
      <c r="G421">
        <f t="shared" si="27"/>
        <v>66000</v>
      </c>
    </row>
    <row r="422" spans="1:7" x14ac:dyDescent="0.25">
      <c r="A422" t="s">
        <v>421</v>
      </c>
      <c r="B422" t="s">
        <v>1012</v>
      </c>
      <c r="C422" t="str">
        <f t="shared" si="24"/>
        <v>Audio Devices</v>
      </c>
      <c r="D422" t="str">
        <f>IF(B422="Smartphone",D423,
IF(B422="Smartwatch",
"Apple",
IF(B422="Laptop",
" Apple",
IF(B422="Desktop PC",
"Lenovo",
IF(B422="Tablet",
"Samsung",
IF(B422="Headphone",
"Sony",
IF(B422="Camera",
"Sony",
IF(B422="Printer",
"HP",
IF(B422="External Hard Disk",
"Western Digital",
"Other")))))))))</f>
        <v>Sony</v>
      </c>
      <c r="E422" t="str">
        <f t="shared" si="25"/>
        <v>Supertron Electronics</v>
      </c>
      <c r="F422">
        <f t="shared" si="26"/>
        <v>60000</v>
      </c>
      <c r="G422">
        <f t="shared" si="27"/>
        <v>66000</v>
      </c>
    </row>
    <row r="423" spans="1:7" x14ac:dyDescent="0.25">
      <c r="A423" t="s">
        <v>422</v>
      </c>
      <c r="B423" t="s">
        <v>1010</v>
      </c>
      <c r="C423" t="str">
        <f t="shared" si="24"/>
        <v>Office Equipments</v>
      </c>
      <c r="D423" t="str">
        <f>IF(B423="Smartphone",D424,
IF(B423="Smartwatch",
"Apple",
IF(B423="Laptop",
" Apple",
IF(B423="Desktop PC",
"Lenovo",
IF(B423="Tablet",
"Samsung",
IF(B423="Headphone",
"Sony",
IF(B423="Camera",
"Sony",
IF(B423="Printer",
"HP",
IF(B423="External Hard Disk",
"Western Digital",
"Other")))))))))</f>
        <v>Sony</v>
      </c>
      <c r="E423" t="str">
        <f t="shared" si="25"/>
        <v>Supertron Electronics</v>
      </c>
      <c r="F423">
        <f t="shared" si="26"/>
        <v>60000</v>
      </c>
      <c r="G423">
        <f t="shared" si="27"/>
        <v>66000</v>
      </c>
    </row>
    <row r="424" spans="1:7" x14ac:dyDescent="0.25">
      <c r="A424" t="s">
        <v>423</v>
      </c>
      <c r="B424" t="s">
        <v>1001</v>
      </c>
      <c r="C424" t="str">
        <f t="shared" si="24"/>
        <v>Mobile and Wearables</v>
      </c>
      <c r="D424" t="str">
        <f>IF(B424="Smartphone",D425,
IF(B424="Smartwatch",
"Apple",
IF(B424="Laptop",
" Apple",
IF(B424="Desktop PC",
"Lenovo",
IF(B424="Tablet",
"Samsung",
IF(B424="Headphone",
"Sony",
IF(B424="Camera",
"Sony",
IF(B424="Printer",
"HP",
IF(B424="External Hard Disk",
"Western Digital",
"Other")))))))))</f>
        <v>Apple</v>
      </c>
      <c r="E424" t="str">
        <f t="shared" si="25"/>
        <v>Redington India</v>
      </c>
      <c r="F424">
        <f t="shared" si="26"/>
        <v>40000</v>
      </c>
      <c r="G424">
        <f t="shared" si="27"/>
        <v>44000</v>
      </c>
    </row>
    <row r="425" spans="1:7" x14ac:dyDescent="0.25">
      <c r="A425" t="s">
        <v>424</v>
      </c>
      <c r="B425" t="s">
        <v>1013</v>
      </c>
      <c r="C425" t="str">
        <f t="shared" si="24"/>
        <v>Storage Devices</v>
      </c>
      <c r="D425" t="str">
        <f>IF(B425="Smartphone",D426,
IF(B425="Smartwatch",
"Apple",
IF(B425="Laptop",
" Apple",
IF(B425="Desktop PC",
"Lenovo",
IF(B425="Tablet",
"Samsung",
IF(B425="Headphone",
"Sony",
IF(B425="Camera",
"Sony",
IF(B425="Printer",
"HP",
IF(B425="External Hard Disk",
"Western Digital",
"Other")))))))))</f>
        <v>Western Digital</v>
      </c>
      <c r="E425" t="str">
        <f t="shared" si="25"/>
        <v>Ingram Micron India</v>
      </c>
      <c r="F425">
        <f t="shared" si="26"/>
        <v>35000</v>
      </c>
      <c r="G425">
        <f t="shared" si="27"/>
        <v>38500</v>
      </c>
    </row>
    <row r="426" spans="1:7" x14ac:dyDescent="0.25">
      <c r="A426" t="s">
        <v>425</v>
      </c>
      <c r="B426" t="s">
        <v>1001</v>
      </c>
      <c r="C426" t="str">
        <f t="shared" si="24"/>
        <v>Mobile and Wearables</v>
      </c>
      <c r="D426" t="str">
        <f>IF(B426="Smartphone",D427,
IF(B426="Smartwatch",
"Apple",
IF(B426="Laptop",
" Apple",
IF(B426="Desktop PC",
"Lenovo",
IF(B426="Tablet",
"Samsung",
IF(B426="Headphone",
"Sony",
IF(B426="Camera",
"Sony",
IF(B426="Printer",
"HP",
IF(B426="External Hard Disk",
"Western Digital",
"Other")))))))))</f>
        <v>Apple</v>
      </c>
      <c r="E426" t="str">
        <f t="shared" si="25"/>
        <v>Redington India</v>
      </c>
      <c r="F426">
        <f t="shared" si="26"/>
        <v>40000</v>
      </c>
      <c r="G426">
        <f t="shared" si="27"/>
        <v>44000</v>
      </c>
    </row>
    <row r="427" spans="1:7" x14ac:dyDescent="0.25">
      <c r="A427" t="s">
        <v>426</v>
      </c>
      <c r="B427" t="s">
        <v>1012</v>
      </c>
      <c r="C427" t="str">
        <f t="shared" si="24"/>
        <v>Audio Devices</v>
      </c>
      <c r="D427" t="str">
        <f>IF(B427="Smartphone",D428,
IF(B427="Smartwatch",
"Apple",
IF(B427="Laptop",
" Apple",
IF(B427="Desktop PC",
"Lenovo",
IF(B427="Tablet",
"Samsung",
IF(B427="Headphone",
"Sony",
IF(B427="Camera",
"Sony",
IF(B427="Printer",
"HP",
IF(B427="External Hard Disk",
"Western Digital",
"Other")))))))))</f>
        <v>Sony</v>
      </c>
      <c r="E427" t="str">
        <f t="shared" si="25"/>
        <v>Supertron Electronics</v>
      </c>
      <c r="F427">
        <f t="shared" si="26"/>
        <v>60000</v>
      </c>
      <c r="G427">
        <f t="shared" si="27"/>
        <v>66000</v>
      </c>
    </row>
    <row r="428" spans="1:7" x14ac:dyDescent="0.25">
      <c r="A428" t="s">
        <v>427</v>
      </c>
      <c r="B428" t="s">
        <v>1009</v>
      </c>
      <c r="C428" t="str">
        <f t="shared" si="24"/>
        <v>Office Equipments</v>
      </c>
      <c r="D428" t="str">
        <f>IF(B428="Smartphone",D429,
IF(B428="Smartwatch",
"Apple",
IF(B428="Laptop",
" Apple",
IF(B428="Desktop PC",
"Lenovo",
IF(B428="Tablet",
"Samsung",
IF(B428="Headphone",
"Sony",
IF(B428="Camera",
"Sony",
IF(B428="Printer",
"HP",
IF(B428="External Hard Disk",
"Western Digital",
"Other")))))))))</f>
        <v>HP</v>
      </c>
      <c r="E428" t="str">
        <f t="shared" si="25"/>
        <v>Savex Technologies</v>
      </c>
      <c r="F428">
        <f t="shared" si="26"/>
        <v>40000</v>
      </c>
      <c r="G428">
        <f t="shared" si="27"/>
        <v>44000</v>
      </c>
    </row>
    <row r="429" spans="1:7" x14ac:dyDescent="0.25">
      <c r="A429" t="s">
        <v>428</v>
      </c>
      <c r="B429" t="s">
        <v>1001</v>
      </c>
      <c r="C429" t="str">
        <f t="shared" si="24"/>
        <v>Mobile and Wearables</v>
      </c>
      <c r="D429" t="str">
        <f>IF(B429="Smartphone",D430,
IF(B429="Smartwatch",
"Apple",
IF(B429="Laptop",
" Apple",
IF(B429="Desktop PC",
"Lenovo",
IF(B429="Tablet",
"Samsung",
IF(B429="Headphone",
"Sony",
IF(B429="Camera",
"Sony",
IF(B429="Printer",
"HP",
IF(B429="External Hard Disk",
"Western Digital",
"Other")))))))))</f>
        <v>Apple</v>
      </c>
      <c r="E429" t="str">
        <f t="shared" si="25"/>
        <v>Redington India</v>
      </c>
      <c r="F429">
        <f t="shared" si="26"/>
        <v>40000</v>
      </c>
      <c r="G429">
        <f t="shared" si="27"/>
        <v>44000</v>
      </c>
    </row>
    <row r="430" spans="1:7" x14ac:dyDescent="0.25">
      <c r="A430" t="s">
        <v>429</v>
      </c>
      <c r="B430" t="s">
        <v>1013</v>
      </c>
      <c r="C430" t="str">
        <f t="shared" si="24"/>
        <v>Storage Devices</v>
      </c>
      <c r="D430" t="str">
        <f>IF(B430="Smartphone",D431,
IF(B430="Smartwatch",
"Apple",
IF(B430="Laptop",
" Apple",
IF(B430="Desktop PC",
"Lenovo",
IF(B430="Tablet",
"Samsung",
IF(B430="Headphone",
"Sony",
IF(B430="Camera",
"Sony",
IF(B430="Printer",
"HP",
IF(B430="External Hard Disk",
"Western Digital",
"Other")))))))))</f>
        <v>Western Digital</v>
      </c>
      <c r="E430" t="str">
        <f t="shared" si="25"/>
        <v>Ingram Micron India</v>
      </c>
      <c r="F430">
        <f t="shared" si="26"/>
        <v>35000</v>
      </c>
      <c r="G430">
        <f t="shared" si="27"/>
        <v>38500</v>
      </c>
    </row>
    <row r="431" spans="1:7" x14ac:dyDescent="0.25">
      <c r="A431" t="s">
        <v>430</v>
      </c>
      <c r="B431" t="s">
        <v>1003</v>
      </c>
      <c r="C431" t="str">
        <f t="shared" si="24"/>
        <v>Electronics (Computing Devices)</v>
      </c>
      <c r="D431" t="str">
        <f>IF(B431="Smartphone",D432,
IF(B431="Smartwatch",
"Apple",
IF(B431="Laptop",
" Apple",
IF(B431="Desktop PC",
"Lenovo",
IF(B431="Tablet",
"Samsung",
IF(B431="Headphone",
"Sony",
IF(B431="Camera",
"Sony",
IF(B431="Printer",
"HP",
IF(B431="External Hard Disk",
"Western Digital",
"Other")))))))))</f>
        <v>Other</v>
      </c>
      <c r="E431" t="str">
        <f t="shared" si="25"/>
        <v>Ingram Micron India</v>
      </c>
      <c r="F431">
        <f t="shared" si="26"/>
        <v>35000</v>
      </c>
      <c r="G431">
        <f t="shared" si="27"/>
        <v>38500</v>
      </c>
    </row>
    <row r="432" spans="1:7" x14ac:dyDescent="0.25">
      <c r="A432" t="s">
        <v>431</v>
      </c>
      <c r="B432" t="s">
        <v>1005</v>
      </c>
      <c r="C432" t="str">
        <f t="shared" si="24"/>
        <v>Electronics (Computing Devices)</v>
      </c>
      <c r="D432" t="str">
        <f>IF(B432="Smartphone",D433,
IF(B432="Smartwatch",
"Apple",
IF(B432="Laptop",
" Apple",
IF(B432="Desktop PC",
"Lenovo",
IF(B432="Tablet",
"Samsung",
IF(B432="Headphone",
"Sony",
IF(B432="Camera",
"Sony",
IF(B432="Printer",
"HP",
IF(B432="External Hard Disk",
"Western Digital",
"Other")))))))))</f>
        <v>Samsung</v>
      </c>
      <c r="E432" t="str">
        <f t="shared" si="25"/>
        <v>Rashi Peripherals</v>
      </c>
      <c r="F432">
        <f t="shared" si="26"/>
        <v>30000</v>
      </c>
      <c r="G432">
        <f t="shared" si="27"/>
        <v>33000</v>
      </c>
    </row>
    <row r="433" spans="1:7" x14ac:dyDescent="0.25">
      <c r="A433" t="s">
        <v>432</v>
      </c>
      <c r="B433" t="s">
        <v>1002</v>
      </c>
      <c r="C433" t="str">
        <f t="shared" si="24"/>
        <v>Electronics (Computing Devices)</v>
      </c>
      <c r="D433" t="str">
        <f>IF(B433="Smartphone",D434,
IF(B433="Smartwatch",
"Apple",
IF(B433="Laptop",
" Apple",
IF(B433="Desktop PC",
"Lenovo",
IF(B433="Tablet",
"Samsung",
IF(B433="Headphone",
"Sony",
IF(B433="Camera",
"Sony",
IF(B433="Printer",
"HP",
IF(B433="External Hard Disk",
"Western Digital",
"Other")))))))))</f>
        <v>Lenovo</v>
      </c>
      <c r="E433" t="str">
        <f t="shared" si="25"/>
        <v>Savex Technologies</v>
      </c>
      <c r="F433">
        <f t="shared" si="26"/>
        <v>45000</v>
      </c>
      <c r="G433">
        <f t="shared" si="27"/>
        <v>49500.000000000007</v>
      </c>
    </row>
    <row r="434" spans="1:7" x14ac:dyDescent="0.25">
      <c r="A434" t="s">
        <v>433</v>
      </c>
      <c r="B434" t="s">
        <v>1002</v>
      </c>
      <c r="C434" t="str">
        <f t="shared" si="24"/>
        <v>Electronics (Computing Devices)</v>
      </c>
      <c r="D434" t="str">
        <f>IF(B434="Smartphone",D435,
IF(B434="Smartwatch",
"Apple",
IF(B434="Laptop",
" Apple",
IF(B434="Desktop PC",
"Lenovo",
IF(B434="Tablet",
"Samsung",
IF(B434="Headphone",
"Sony",
IF(B434="Camera",
"Sony",
IF(B434="Printer",
"HP",
IF(B434="External Hard Disk",
"Western Digital",
"Other")))))))))</f>
        <v>Lenovo</v>
      </c>
      <c r="E434" t="str">
        <f t="shared" si="25"/>
        <v>Savex Technologies</v>
      </c>
      <c r="F434">
        <f t="shared" si="26"/>
        <v>45000</v>
      </c>
      <c r="G434">
        <f t="shared" si="27"/>
        <v>49500.000000000007</v>
      </c>
    </row>
    <row r="435" spans="1:7" x14ac:dyDescent="0.25">
      <c r="A435" t="s">
        <v>434</v>
      </c>
      <c r="B435" t="s">
        <v>1003</v>
      </c>
      <c r="C435" t="str">
        <f t="shared" si="24"/>
        <v>Electronics (Computing Devices)</v>
      </c>
      <c r="D435" t="str">
        <f>IF(B435="Smartphone",D436,
IF(B435="Smartwatch",
"Apple",
IF(B435="Laptop",
" Apple",
IF(B435="Desktop PC",
"Lenovo",
IF(B435="Tablet",
"Samsung",
IF(B435="Headphone",
"Sony",
IF(B435="Camera",
"Sony",
IF(B435="Printer",
"HP",
IF(B435="External Hard Disk",
"Western Digital",
"Other")))))))))</f>
        <v>Other</v>
      </c>
      <c r="E435" t="str">
        <f t="shared" si="25"/>
        <v>Ingram Micron India</v>
      </c>
      <c r="F435">
        <f t="shared" si="26"/>
        <v>35000</v>
      </c>
      <c r="G435">
        <f t="shared" si="27"/>
        <v>38500</v>
      </c>
    </row>
    <row r="436" spans="1:7" x14ac:dyDescent="0.25">
      <c r="A436" t="s">
        <v>435</v>
      </c>
      <c r="B436" t="s">
        <v>1010</v>
      </c>
      <c r="C436" t="str">
        <f t="shared" si="24"/>
        <v>Office Equipments</v>
      </c>
      <c r="D436" t="str">
        <f>IF(B436="Smartphone",D437,
IF(B436="Smartwatch",
"Apple",
IF(B436="Laptop",
" Apple",
IF(B436="Desktop PC",
"Lenovo",
IF(B436="Tablet",
"Samsung",
IF(B436="Headphone",
"Sony",
IF(B436="Camera",
"Sony",
IF(B436="Printer",
"HP",
IF(B436="External Hard Disk",
"Western Digital",
"Other")))))))))</f>
        <v>Sony</v>
      </c>
      <c r="E436" t="str">
        <f t="shared" si="25"/>
        <v>Supertron Electronics</v>
      </c>
      <c r="F436">
        <f t="shared" si="26"/>
        <v>60000</v>
      </c>
      <c r="G436">
        <f t="shared" si="27"/>
        <v>66000</v>
      </c>
    </row>
    <row r="437" spans="1:7" x14ac:dyDescent="0.25">
      <c r="A437" t="s">
        <v>436</v>
      </c>
      <c r="B437" t="s">
        <v>1002</v>
      </c>
      <c r="C437" t="str">
        <f t="shared" si="24"/>
        <v>Electronics (Computing Devices)</v>
      </c>
      <c r="D437" t="str">
        <f>IF(B437="Smartphone",D438,
IF(B437="Smartwatch",
"Apple",
IF(B437="Laptop",
" Apple",
IF(B437="Desktop PC",
"Lenovo",
IF(B437="Tablet",
"Samsung",
IF(B437="Headphone",
"Sony",
IF(B437="Camera",
"Sony",
IF(B437="Printer",
"HP",
IF(B437="External Hard Disk",
"Western Digital",
"Other")))))))))</f>
        <v>Lenovo</v>
      </c>
      <c r="E437" t="str">
        <f t="shared" si="25"/>
        <v>Savex Technologies</v>
      </c>
      <c r="F437">
        <f t="shared" si="26"/>
        <v>45000</v>
      </c>
      <c r="G437">
        <f t="shared" si="27"/>
        <v>49500.000000000007</v>
      </c>
    </row>
    <row r="438" spans="1:7" x14ac:dyDescent="0.25">
      <c r="A438" t="s">
        <v>437</v>
      </c>
      <c r="B438" t="s">
        <v>1012</v>
      </c>
      <c r="C438" t="str">
        <f t="shared" si="24"/>
        <v>Audio Devices</v>
      </c>
      <c r="D438" t="str">
        <f>IF(B438="Smartphone",D439,
IF(B438="Smartwatch",
"Apple",
IF(B438="Laptop",
" Apple",
IF(B438="Desktop PC",
"Lenovo",
IF(B438="Tablet",
"Samsung",
IF(B438="Headphone",
"Sony",
IF(B438="Camera",
"Sony",
IF(B438="Printer",
"HP",
IF(B438="External Hard Disk",
"Western Digital",
"Other")))))))))</f>
        <v>Sony</v>
      </c>
      <c r="E438" t="str">
        <f t="shared" si="25"/>
        <v>Supertron Electronics</v>
      </c>
      <c r="F438">
        <f t="shared" si="26"/>
        <v>60000</v>
      </c>
      <c r="G438">
        <f t="shared" si="27"/>
        <v>66000</v>
      </c>
    </row>
    <row r="439" spans="1:7" x14ac:dyDescent="0.25">
      <c r="A439" t="s">
        <v>438</v>
      </c>
      <c r="B439" t="s">
        <v>1003</v>
      </c>
      <c r="C439" t="str">
        <f t="shared" si="24"/>
        <v>Electronics (Computing Devices)</v>
      </c>
      <c r="D439" t="str">
        <f>IF(B439="Smartphone",D440,
IF(B439="Smartwatch",
"Apple",
IF(B439="Laptop",
" Apple",
IF(B439="Desktop PC",
"Lenovo",
IF(B439="Tablet",
"Samsung",
IF(B439="Headphone",
"Sony",
IF(B439="Camera",
"Sony",
IF(B439="Printer",
"HP",
IF(B439="External Hard Disk",
"Western Digital",
"Other")))))))))</f>
        <v>Other</v>
      </c>
      <c r="E439" t="str">
        <f t="shared" si="25"/>
        <v>Ingram Micron India</v>
      </c>
      <c r="F439">
        <f t="shared" si="26"/>
        <v>35000</v>
      </c>
      <c r="G439">
        <f t="shared" si="27"/>
        <v>38500</v>
      </c>
    </row>
    <row r="440" spans="1:7" x14ac:dyDescent="0.25">
      <c r="A440" t="s">
        <v>439</v>
      </c>
      <c r="B440" t="s">
        <v>1005</v>
      </c>
      <c r="C440" t="str">
        <f t="shared" si="24"/>
        <v>Electronics (Computing Devices)</v>
      </c>
      <c r="D440" t="str">
        <f>IF(B440="Smartphone",D441,
IF(B440="Smartwatch",
"Apple",
IF(B440="Laptop",
" Apple",
IF(B440="Desktop PC",
"Lenovo",
IF(B440="Tablet",
"Samsung",
IF(B440="Headphone",
"Sony",
IF(B440="Camera",
"Sony",
IF(B440="Printer",
"HP",
IF(B440="External Hard Disk",
"Western Digital",
"Other")))))))))</f>
        <v>Samsung</v>
      </c>
      <c r="E440" t="str">
        <f t="shared" si="25"/>
        <v>Rashi Peripherals</v>
      </c>
      <c r="F440">
        <f t="shared" si="26"/>
        <v>30000</v>
      </c>
      <c r="G440">
        <f t="shared" si="27"/>
        <v>33000</v>
      </c>
    </row>
    <row r="441" spans="1:7" x14ac:dyDescent="0.25">
      <c r="A441" t="s">
        <v>440</v>
      </c>
      <c r="B441" t="s">
        <v>1012</v>
      </c>
      <c r="C441" t="str">
        <f t="shared" si="24"/>
        <v>Audio Devices</v>
      </c>
      <c r="D441" t="str">
        <f>IF(B441="Smartphone",D442,
IF(B441="Smartwatch",
"Apple",
IF(B441="Laptop",
" Apple",
IF(B441="Desktop PC",
"Lenovo",
IF(B441="Tablet",
"Samsung",
IF(B441="Headphone",
"Sony",
IF(B441="Camera",
"Sony",
IF(B441="Printer",
"HP",
IF(B441="External Hard Disk",
"Western Digital",
"Other")))))))))</f>
        <v>Sony</v>
      </c>
      <c r="E441" t="str">
        <f t="shared" si="25"/>
        <v>Supertron Electronics</v>
      </c>
      <c r="F441">
        <f t="shared" si="26"/>
        <v>60000</v>
      </c>
      <c r="G441">
        <f t="shared" si="27"/>
        <v>66000</v>
      </c>
    </row>
    <row r="442" spans="1:7" x14ac:dyDescent="0.25">
      <c r="A442" t="s">
        <v>441</v>
      </c>
      <c r="B442" t="s">
        <v>1004</v>
      </c>
      <c r="C442" t="str">
        <f t="shared" si="24"/>
        <v>Electronics (Computing Devices)</v>
      </c>
      <c r="D442" t="str">
        <f>IF(B442="Smartphone",D443,
IF(B442="Smartwatch",
"Apple",
IF(B442="Laptop",
" Apple",
IF(B442="Desktop PC",
"Lenovo",
IF(B442="Tablet",
"Samsung",
IF(B442="Headphone",
"Sony",
IF(B442="Camera",
"Sony",
IF(B442="Printer",
"HP",
IF(B442="External Hard Disk",
"Western Digital",
"Other")))))))))</f>
        <v xml:space="preserve"> Apple</v>
      </c>
      <c r="E442" t="str">
        <f t="shared" si="25"/>
        <v>Ingram Micron India</v>
      </c>
      <c r="F442">
        <f t="shared" si="26"/>
        <v>35000</v>
      </c>
      <c r="G442">
        <f t="shared" si="27"/>
        <v>38500</v>
      </c>
    </row>
    <row r="443" spans="1:7" x14ac:dyDescent="0.25">
      <c r="A443" t="s">
        <v>442</v>
      </c>
      <c r="B443" t="s">
        <v>1002</v>
      </c>
      <c r="C443" t="str">
        <f t="shared" si="24"/>
        <v>Electronics (Computing Devices)</v>
      </c>
      <c r="D443" t="str">
        <f>IF(B443="Smartphone",D444,
IF(B443="Smartwatch",
"Apple",
IF(B443="Laptop",
" Apple",
IF(B443="Desktop PC",
"Lenovo",
IF(B443="Tablet",
"Samsung",
IF(B443="Headphone",
"Sony",
IF(B443="Camera",
"Sony",
IF(B443="Printer",
"HP",
IF(B443="External Hard Disk",
"Western Digital",
"Other")))))))))</f>
        <v>Lenovo</v>
      </c>
      <c r="E443" t="str">
        <f t="shared" si="25"/>
        <v>Savex Technologies</v>
      </c>
      <c r="F443">
        <f t="shared" si="26"/>
        <v>45000</v>
      </c>
      <c r="G443">
        <f t="shared" si="27"/>
        <v>49500.000000000007</v>
      </c>
    </row>
    <row r="444" spans="1:7" x14ac:dyDescent="0.25">
      <c r="A444" t="s">
        <v>443</v>
      </c>
      <c r="B444" t="s">
        <v>1002</v>
      </c>
      <c r="C444" t="str">
        <f t="shared" si="24"/>
        <v>Electronics (Computing Devices)</v>
      </c>
      <c r="D444" t="str">
        <f>IF(B444="Smartphone",D445,
IF(B444="Smartwatch",
"Apple",
IF(B444="Laptop",
" Apple",
IF(B444="Desktop PC",
"Lenovo",
IF(B444="Tablet",
"Samsung",
IF(B444="Headphone",
"Sony",
IF(B444="Camera",
"Sony",
IF(B444="Printer",
"HP",
IF(B444="External Hard Disk",
"Western Digital",
"Other")))))))))</f>
        <v>Lenovo</v>
      </c>
      <c r="E444" t="str">
        <f t="shared" si="25"/>
        <v>Savex Technologies</v>
      </c>
      <c r="F444">
        <f t="shared" si="26"/>
        <v>45000</v>
      </c>
      <c r="G444">
        <f t="shared" si="27"/>
        <v>49500.000000000007</v>
      </c>
    </row>
    <row r="445" spans="1:7" x14ac:dyDescent="0.25">
      <c r="A445" t="s">
        <v>444</v>
      </c>
      <c r="B445" t="s">
        <v>1001</v>
      </c>
      <c r="C445" t="str">
        <f t="shared" si="24"/>
        <v>Mobile and Wearables</v>
      </c>
      <c r="D445" t="str">
        <f>IF(B445="Smartphone",D446,
IF(B445="Smartwatch",
"Apple",
IF(B445="Laptop",
" Apple",
IF(B445="Desktop PC",
"Lenovo",
IF(B445="Tablet",
"Samsung",
IF(B445="Headphone",
"Sony",
IF(B445="Camera",
"Sony",
IF(B445="Printer",
"HP",
IF(B445="External Hard Disk",
"Western Digital",
"Other")))))))))</f>
        <v>Apple</v>
      </c>
      <c r="E445" t="str">
        <f t="shared" si="25"/>
        <v>Redington India</v>
      </c>
      <c r="F445">
        <f t="shared" si="26"/>
        <v>40000</v>
      </c>
      <c r="G445">
        <f t="shared" si="27"/>
        <v>44000</v>
      </c>
    </row>
    <row r="446" spans="1:7" x14ac:dyDescent="0.25">
      <c r="A446" t="s">
        <v>445</v>
      </c>
      <c r="B446" t="s">
        <v>1013</v>
      </c>
      <c r="C446" t="str">
        <f t="shared" si="24"/>
        <v>Storage Devices</v>
      </c>
      <c r="D446" t="str">
        <f>IF(B446="Smartphone",D447,
IF(B446="Smartwatch",
"Apple",
IF(B446="Laptop",
" Apple",
IF(B446="Desktop PC",
"Lenovo",
IF(B446="Tablet",
"Samsung",
IF(B446="Headphone",
"Sony",
IF(B446="Camera",
"Sony",
IF(B446="Printer",
"HP",
IF(B446="External Hard Disk",
"Western Digital",
"Other")))))))))</f>
        <v>Western Digital</v>
      </c>
      <c r="E446" t="str">
        <f t="shared" si="25"/>
        <v>Ingram Micron India</v>
      </c>
      <c r="F446">
        <f t="shared" si="26"/>
        <v>35000</v>
      </c>
      <c r="G446">
        <f t="shared" si="27"/>
        <v>38500</v>
      </c>
    </row>
    <row r="447" spans="1:7" x14ac:dyDescent="0.25">
      <c r="A447" t="s">
        <v>446</v>
      </c>
      <c r="B447" t="s">
        <v>1009</v>
      </c>
      <c r="C447" t="str">
        <f t="shared" si="24"/>
        <v>Office Equipments</v>
      </c>
      <c r="D447" t="str">
        <f>IF(B447="Smartphone",D448,
IF(B447="Smartwatch",
"Apple",
IF(B447="Laptop",
" Apple",
IF(B447="Desktop PC",
"Lenovo",
IF(B447="Tablet",
"Samsung",
IF(B447="Headphone",
"Sony",
IF(B447="Camera",
"Sony",
IF(B447="Printer",
"HP",
IF(B447="External Hard Disk",
"Western Digital",
"Other")))))))))</f>
        <v>HP</v>
      </c>
      <c r="E447" t="str">
        <f t="shared" si="25"/>
        <v>Savex Technologies</v>
      </c>
      <c r="F447">
        <f t="shared" si="26"/>
        <v>40000</v>
      </c>
      <c r="G447">
        <f t="shared" si="27"/>
        <v>44000</v>
      </c>
    </row>
    <row r="448" spans="1:7" x14ac:dyDescent="0.25">
      <c r="A448" t="s">
        <v>447</v>
      </c>
      <c r="B448" t="s">
        <v>1002</v>
      </c>
      <c r="C448" t="str">
        <f t="shared" si="24"/>
        <v>Electronics (Computing Devices)</v>
      </c>
      <c r="D448" t="str">
        <f>IF(B448="Smartphone",D449,
IF(B448="Smartwatch",
"Apple",
IF(B448="Laptop",
" Apple",
IF(B448="Desktop PC",
"Lenovo",
IF(B448="Tablet",
"Samsung",
IF(B448="Headphone",
"Sony",
IF(B448="Camera",
"Sony",
IF(B448="Printer",
"HP",
IF(B448="External Hard Disk",
"Western Digital",
"Other")))))))))</f>
        <v>Lenovo</v>
      </c>
      <c r="E448" t="str">
        <f t="shared" si="25"/>
        <v>Savex Technologies</v>
      </c>
      <c r="F448">
        <f t="shared" si="26"/>
        <v>45000</v>
      </c>
      <c r="G448">
        <f t="shared" si="27"/>
        <v>49500.000000000007</v>
      </c>
    </row>
    <row r="449" spans="1:7" x14ac:dyDescent="0.25">
      <c r="A449" t="s">
        <v>448</v>
      </c>
      <c r="B449" t="s">
        <v>1003</v>
      </c>
      <c r="C449" t="str">
        <f t="shared" si="24"/>
        <v>Electronics (Computing Devices)</v>
      </c>
      <c r="D449" t="str">
        <f>IF(B449="Smartphone",D450,
IF(B449="Smartwatch",
"Apple",
IF(B449="Laptop",
" Apple",
IF(B449="Desktop PC",
"Lenovo",
IF(B449="Tablet",
"Samsung",
IF(B449="Headphone",
"Sony",
IF(B449="Camera",
"Sony",
IF(B449="Printer",
"HP",
IF(B449="External Hard Disk",
"Western Digital",
"Other")))))))))</f>
        <v>Other</v>
      </c>
      <c r="E449" t="str">
        <f t="shared" si="25"/>
        <v>Ingram Micron India</v>
      </c>
      <c r="F449">
        <f t="shared" si="26"/>
        <v>35000</v>
      </c>
      <c r="G449">
        <f t="shared" si="27"/>
        <v>38500</v>
      </c>
    </row>
    <row r="450" spans="1:7" x14ac:dyDescent="0.25">
      <c r="A450" t="s">
        <v>449</v>
      </c>
      <c r="B450" t="s">
        <v>1009</v>
      </c>
      <c r="C450" t="str">
        <f t="shared" si="24"/>
        <v>Office Equipments</v>
      </c>
      <c r="D450" t="str">
        <f>IF(B450="Smartphone",D451,
IF(B450="Smartwatch",
"Apple",
IF(B450="Laptop",
" Apple",
IF(B450="Desktop PC",
"Lenovo",
IF(B450="Tablet",
"Samsung",
IF(B450="Headphone",
"Sony",
IF(B450="Camera",
"Sony",
IF(B450="Printer",
"HP",
IF(B450="External Hard Disk",
"Western Digital",
"Other")))))))))</f>
        <v>HP</v>
      </c>
      <c r="E450" t="str">
        <f t="shared" si="25"/>
        <v>Savex Technologies</v>
      </c>
      <c r="F450">
        <f t="shared" si="26"/>
        <v>40000</v>
      </c>
      <c r="G450">
        <f t="shared" si="27"/>
        <v>44000</v>
      </c>
    </row>
    <row r="451" spans="1:7" x14ac:dyDescent="0.25">
      <c r="A451" t="s">
        <v>450</v>
      </c>
      <c r="B451" t="s">
        <v>1004</v>
      </c>
      <c r="C451" t="str">
        <f t="shared" ref="C451:C514" si="28">IF(OR(B451="Laptop",B451="Desktop PC",B451="Tablet",B451="E-Reader"),
"Electronics (Computing Devices)",
IF(OR(B451="Smartphone",B451="Smartwatch"),
"Mobile and Wearables",
IF(B451="Headphone",
"Audio Devices",
IF(OR(B451="Printer",B451="Camera"),
"Office Equipments",
IF(B451="External Hard Disk",
"Storage Devices",
"Other")))))</f>
        <v>Electronics (Computing Devices)</v>
      </c>
      <c r="D451" t="str">
        <f>IF(B451="Smartphone",D452,
IF(B451="Smartwatch",
"Apple",
IF(B451="Laptop",
" Apple",
IF(B451="Desktop PC",
"Lenovo",
IF(B451="Tablet",
"Samsung",
IF(B451="Headphone",
"Sony",
IF(B451="Camera",
"Sony",
IF(B451="Printer",
"HP",
IF(B451="External Hard Disk",
"Western Digital",
"Other")))))))))</f>
        <v xml:space="preserve"> Apple</v>
      </c>
      <c r="E451" t="str">
        <f t="shared" ref="E451:E514" si="29">IF(D451="Apple",
"Redington India",
IF(D451="Samsung",
"Rashi Peripherals",
IF(D451="Sony",
"Supertron Electronics",
IF(OR(D451="Lenovo",D451="HP",D451="Dell"),
"Savex Technologies",
IF(C451="Printer",
"Rashi Peripherals",
IF(C451="Camera",
"Redington India",
IF(C451="External Hard Disk",
"Supertron Electronics",
"Ingram Micron India")))))))</f>
        <v>Ingram Micron India</v>
      </c>
      <c r="F451">
        <f t="shared" ref="F451:F514" si="30">IF(D451="Apple",
IF(C451="Smartphone",95000,
IF(C451="Tablet",75000,
IF(C451="Laptop",150000,
IF(C451="Smartwatch",90000,40000)))),
IF(D451="Samsung",
IF(C451="Smartphone",55000,
IF(C451="Tablet",40000,
IF(C451="Smartwatch",25000,30000))),
IF(D451="Lenovo",
IF(C451="Laptop",85000,
IF(C451="Desktop PC",70000,45000)),
IF(D451="HP",
IF(C451="Printer",30000,
IF(C451="Laptop",80000,40000)),
IF(D451="Sony",
IF(C451="Headphone",15000,
IF(C451="Camera",120000,60000)),
IF(C451="External Hard Disk",
IF(D451="Seagate",7000,
IF(D451="Western Digital",8000,7500)),
35000))))))</f>
        <v>35000</v>
      </c>
      <c r="G451">
        <f t="shared" ref="G451:G514" si="31">IF(C451="Smartphone",F451*1.1,
IF(C451="Laptop",F451*1.08,
IF(C451="Tablet",F451*1.12,
IF(C451="Smartwatch",F451*1.15,
IF(C451="Desktop PC",F451*1.07,
IF(C451="Printer",F451*1.18,
IF(C451="Camera",F451*1.12,
IF(C451="Headphone",F451*1.25,
IF(C451="External Hard Disk",F451*1.2,
F451*1.1)))))))))</f>
        <v>38500</v>
      </c>
    </row>
    <row r="452" spans="1:7" x14ac:dyDescent="0.25">
      <c r="A452" t="s">
        <v>451</v>
      </c>
      <c r="B452" t="s">
        <v>1012</v>
      </c>
      <c r="C452" t="str">
        <f t="shared" si="28"/>
        <v>Audio Devices</v>
      </c>
      <c r="D452" t="str">
        <f>IF(B452="Smartphone",D453,
IF(B452="Smartwatch",
"Apple",
IF(B452="Laptop",
" Apple",
IF(B452="Desktop PC",
"Lenovo",
IF(B452="Tablet",
"Samsung",
IF(B452="Headphone",
"Sony",
IF(B452="Camera",
"Sony",
IF(B452="Printer",
"HP",
IF(B452="External Hard Disk",
"Western Digital",
"Other")))))))))</f>
        <v>Sony</v>
      </c>
      <c r="E452" t="str">
        <f t="shared" si="29"/>
        <v>Supertron Electronics</v>
      </c>
      <c r="F452">
        <f t="shared" si="30"/>
        <v>60000</v>
      </c>
      <c r="G452">
        <f t="shared" si="31"/>
        <v>66000</v>
      </c>
    </row>
    <row r="453" spans="1:7" x14ac:dyDescent="0.25">
      <c r="A453" t="s">
        <v>452</v>
      </c>
      <c r="B453" t="s">
        <v>1009</v>
      </c>
      <c r="C453" t="str">
        <f t="shared" si="28"/>
        <v>Office Equipments</v>
      </c>
      <c r="D453" t="str">
        <f>IF(B453="Smartphone",D454,
IF(B453="Smartwatch",
"Apple",
IF(B453="Laptop",
" Apple",
IF(B453="Desktop PC",
"Lenovo",
IF(B453="Tablet",
"Samsung",
IF(B453="Headphone",
"Sony",
IF(B453="Camera",
"Sony",
IF(B453="Printer",
"HP",
IF(B453="External Hard Disk",
"Western Digital",
"Other")))))))))</f>
        <v>HP</v>
      </c>
      <c r="E453" t="str">
        <f t="shared" si="29"/>
        <v>Savex Technologies</v>
      </c>
      <c r="F453">
        <f t="shared" si="30"/>
        <v>40000</v>
      </c>
      <c r="G453">
        <f t="shared" si="31"/>
        <v>44000</v>
      </c>
    </row>
    <row r="454" spans="1:7" x14ac:dyDescent="0.25">
      <c r="A454" t="s">
        <v>453</v>
      </c>
      <c r="B454" t="s">
        <v>1005</v>
      </c>
      <c r="C454" t="str">
        <f t="shared" si="28"/>
        <v>Electronics (Computing Devices)</v>
      </c>
      <c r="D454" t="str">
        <f>IF(B454="Smartphone",D455,
IF(B454="Smartwatch",
"Apple",
IF(B454="Laptop",
" Apple",
IF(B454="Desktop PC",
"Lenovo",
IF(B454="Tablet",
"Samsung",
IF(B454="Headphone",
"Sony",
IF(B454="Camera",
"Sony",
IF(B454="Printer",
"HP",
IF(B454="External Hard Disk",
"Western Digital",
"Other")))))))))</f>
        <v>Samsung</v>
      </c>
      <c r="E454" t="str">
        <f t="shared" si="29"/>
        <v>Rashi Peripherals</v>
      </c>
      <c r="F454">
        <f t="shared" si="30"/>
        <v>30000</v>
      </c>
      <c r="G454">
        <f t="shared" si="31"/>
        <v>33000</v>
      </c>
    </row>
    <row r="455" spans="1:7" x14ac:dyDescent="0.25">
      <c r="A455" t="s">
        <v>454</v>
      </c>
      <c r="B455" t="s">
        <v>1001</v>
      </c>
      <c r="C455" t="str">
        <f t="shared" si="28"/>
        <v>Mobile and Wearables</v>
      </c>
      <c r="D455" t="str">
        <f>IF(B455="Smartphone",D456,
IF(B455="Smartwatch",
"Apple",
IF(B455="Laptop",
" Apple",
IF(B455="Desktop PC",
"Lenovo",
IF(B455="Tablet",
"Samsung",
IF(B455="Headphone",
"Sony",
IF(B455="Camera",
"Sony",
IF(B455="Printer",
"HP",
IF(B455="External Hard Disk",
"Western Digital",
"Other")))))))))</f>
        <v>Apple</v>
      </c>
      <c r="E455" t="str">
        <f t="shared" si="29"/>
        <v>Redington India</v>
      </c>
      <c r="F455">
        <f t="shared" si="30"/>
        <v>40000</v>
      </c>
      <c r="G455">
        <f t="shared" si="31"/>
        <v>44000</v>
      </c>
    </row>
    <row r="456" spans="1:7" x14ac:dyDescent="0.25">
      <c r="A456" t="s">
        <v>455</v>
      </c>
      <c r="B456" t="s">
        <v>1013</v>
      </c>
      <c r="C456" t="str">
        <f t="shared" si="28"/>
        <v>Storage Devices</v>
      </c>
      <c r="D456" t="str">
        <f>IF(B456="Smartphone",D457,
IF(B456="Smartwatch",
"Apple",
IF(B456="Laptop",
" Apple",
IF(B456="Desktop PC",
"Lenovo",
IF(B456="Tablet",
"Samsung",
IF(B456="Headphone",
"Sony",
IF(B456="Camera",
"Sony",
IF(B456="Printer",
"HP",
IF(B456="External Hard Disk",
"Western Digital",
"Other")))))))))</f>
        <v>Western Digital</v>
      </c>
      <c r="E456" t="str">
        <f t="shared" si="29"/>
        <v>Ingram Micron India</v>
      </c>
      <c r="F456">
        <f t="shared" si="30"/>
        <v>35000</v>
      </c>
      <c r="G456">
        <f t="shared" si="31"/>
        <v>38500</v>
      </c>
    </row>
    <row r="457" spans="1:7" x14ac:dyDescent="0.25">
      <c r="A457" t="s">
        <v>456</v>
      </c>
      <c r="B457" t="s">
        <v>1001</v>
      </c>
      <c r="C457" t="str">
        <f t="shared" si="28"/>
        <v>Mobile and Wearables</v>
      </c>
      <c r="D457" t="str">
        <f>IF(B457="Smartphone",D458,
IF(B457="Smartwatch",
"Apple",
IF(B457="Laptop",
" Apple",
IF(B457="Desktop PC",
"Lenovo",
IF(B457="Tablet",
"Samsung",
IF(B457="Headphone",
"Sony",
IF(B457="Camera",
"Sony",
IF(B457="Printer",
"HP",
IF(B457="External Hard Disk",
"Western Digital",
"Other")))))))))</f>
        <v>Apple</v>
      </c>
      <c r="E457" t="str">
        <f t="shared" si="29"/>
        <v>Redington India</v>
      </c>
      <c r="F457">
        <f t="shared" si="30"/>
        <v>40000</v>
      </c>
      <c r="G457">
        <f t="shared" si="31"/>
        <v>44000</v>
      </c>
    </row>
    <row r="458" spans="1:7" x14ac:dyDescent="0.25">
      <c r="A458" t="s">
        <v>457</v>
      </c>
      <c r="B458" t="s">
        <v>1009</v>
      </c>
      <c r="C458" t="str">
        <f t="shared" si="28"/>
        <v>Office Equipments</v>
      </c>
      <c r="D458" t="str">
        <f>IF(B458="Smartphone",D459,
IF(B458="Smartwatch",
"Apple",
IF(B458="Laptop",
" Apple",
IF(B458="Desktop PC",
"Lenovo",
IF(B458="Tablet",
"Samsung",
IF(B458="Headphone",
"Sony",
IF(B458="Camera",
"Sony",
IF(B458="Printer",
"HP",
IF(B458="External Hard Disk",
"Western Digital",
"Other")))))))))</f>
        <v>HP</v>
      </c>
      <c r="E458" t="str">
        <f t="shared" si="29"/>
        <v>Savex Technologies</v>
      </c>
      <c r="F458">
        <f t="shared" si="30"/>
        <v>40000</v>
      </c>
      <c r="G458">
        <f t="shared" si="31"/>
        <v>44000</v>
      </c>
    </row>
    <row r="459" spans="1:7" x14ac:dyDescent="0.25">
      <c r="A459" t="s">
        <v>458</v>
      </c>
      <c r="B459" t="s">
        <v>1013</v>
      </c>
      <c r="C459" t="str">
        <f t="shared" si="28"/>
        <v>Storage Devices</v>
      </c>
      <c r="D459" t="str">
        <f>IF(B459="Smartphone",D460,
IF(B459="Smartwatch",
"Apple",
IF(B459="Laptop",
" Apple",
IF(B459="Desktop PC",
"Lenovo",
IF(B459="Tablet",
"Samsung",
IF(B459="Headphone",
"Sony",
IF(B459="Camera",
"Sony",
IF(B459="Printer",
"HP",
IF(B459="External Hard Disk",
"Western Digital",
"Other")))))))))</f>
        <v>Western Digital</v>
      </c>
      <c r="E459" t="str">
        <f t="shared" si="29"/>
        <v>Ingram Micron India</v>
      </c>
      <c r="F459">
        <f t="shared" si="30"/>
        <v>35000</v>
      </c>
      <c r="G459">
        <f t="shared" si="31"/>
        <v>38500</v>
      </c>
    </row>
    <row r="460" spans="1:7" x14ac:dyDescent="0.25">
      <c r="A460" t="s">
        <v>459</v>
      </c>
      <c r="B460" t="s">
        <v>1010</v>
      </c>
      <c r="C460" t="str">
        <f t="shared" si="28"/>
        <v>Office Equipments</v>
      </c>
      <c r="D460" t="str">
        <f>IF(B460="Smartphone",D461,
IF(B460="Smartwatch",
"Apple",
IF(B460="Laptop",
" Apple",
IF(B460="Desktop PC",
"Lenovo",
IF(B460="Tablet",
"Samsung",
IF(B460="Headphone",
"Sony",
IF(B460="Camera",
"Sony",
IF(B460="Printer",
"HP",
IF(B460="External Hard Disk",
"Western Digital",
"Other")))))))))</f>
        <v>Sony</v>
      </c>
      <c r="E460" t="str">
        <f t="shared" si="29"/>
        <v>Supertron Electronics</v>
      </c>
      <c r="F460">
        <f t="shared" si="30"/>
        <v>60000</v>
      </c>
      <c r="G460">
        <f t="shared" si="31"/>
        <v>66000</v>
      </c>
    </row>
    <row r="461" spans="1:7" x14ac:dyDescent="0.25">
      <c r="A461" t="s">
        <v>460</v>
      </c>
      <c r="B461" t="s">
        <v>1001</v>
      </c>
      <c r="C461" t="str">
        <f t="shared" si="28"/>
        <v>Mobile and Wearables</v>
      </c>
      <c r="D461" t="str">
        <f>IF(B461="Smartphone",D462,
IF(B461="Smartwatch",
"Apple",
IF(B461="Laptop",
" Apple",
IF(B461="Desktop PC",
"Lenovo",
IF(B461="Tablet",
"Samsung",
IF(B461="Headphone",
"Sony",
IF(B461="Camera",
"Sony",
IF(B461="Printer",
"HP",
IF(B461="External Hard Disk",
"Western Digital",
"Other")))))))))</f>
        <v>Apple</v>
      </c>
      <c r="E461" t="str">
        <f t="shared" si="29"/>
        <v>Redington India</v>
      </c>
      <c r="F461">
        <f t="shared" si="30"/>
        <v>40000</v>
      </c>
      <c r="G461">
        <f t="shared" si="31"/>
        <v>44000</v>
      </c>
    </row>
    <row r="462" spans="1:7" x14ac:dyDescent="0.25">
      <c r="A462" t="s">
        <v>461</v>
      </c>
      <c r="B462" t="s">
        <v>1007</v>
      </c>
      <c r="C462" t="str">
        <f t="shared" si="28"/>
        <v>Mobile and Wearables</v>
      </c>
      <c r="D462" t="str">
        <f>IF(B462="Smartphone",D463,
IF(B462="Smartwatch",
"Apple",
IF(B462="Laptop",
" Apple",
IF(B462="Desktop PC",
"Lenovo",
IF(B462="Tablet",
"Samsung",
IF(B462="Headphone",
"Sony",
IF(B462="Camera",
"Sony",
IF(B462="Printer",
"HP",
IF(B462="External Hard Disk",
"Western Digital",
"Other")))))))))</f>
        <v>Western Digital</v>
      </c>
      <c r="E462" t="str">
        <f t="shared" si="29"/>
        <v>Ingram Micron India</v>
      </c>
      <c r="F462">
        <f t="shared" si="30"/>
        <v>35000</v>
      </c>
      <c r="G462">
        <f t="shared" si="31"/>
        <v>38500</v>
      </c>
    </row>
    <row r="463" spans="1:7" x14ac:dyDescent="0.25">
      <c r="A463" t="s">
        <v>462</v>
      </c>
      <c r="B463" t="s">
        <v>1013</v>
      </c>
      <c r="C463" t="str">
        <f t="shared" si="28"/>
        <v>Storage Devices</v>
      </c>
      <c r="D463" t="str">
        <f>IF(B463="Smartphone",D464,
IF(B463="Smartwatch",
"Apple",
IF(B463="Laptop",
" Apple",
IF(B463="Desktop PC",
"Lenovo",
IF(B463="Tablet",
"Samsung",
IF(B463="Headphone",
"Sony",
IF(B463="Camera",
"Sony",
IF(B463="Printer",
"HP",
IF(B463="External Hard Disk",
"Western Digital",
"Other")))))))))</f>
        <v>Western Digital</v>
      </c>
      <c r="E463" t="str">
        <f t="shared" si="29"/>
        <v>Ingram Micron India</v>
      </c>
      <c r="F463">
        <f t="shared" si="30"/>
        <v>35000</v>
      </c>
      <c r="G463">
        <f t="shared" si="31"/>
        <v>38500</v>
      </c>
    </row>
    <row r="464" spans="1:7" x14ac:dyDescent="0.25">
      <c r="A464" t="s">
        <v>463</v>
      </c>
      <c r="B464" t="s">
        <v>1001</v>
      </c>
      <c r="C464" t="str">
        <f t="shared" si="28"/>
        <v>Mobile and Wearables</v>
      </c>
      <c r="D464" t="str">
        <f>IF(B464="Smartphone",D465,
IF(B464="Smartwatch",
"Apple",
IF(B464="Laptop",
" Apple",
IF(B464="Desktop PC",
"Lenovo",
IF(B464="Tablet",
"Samsung",
IF(B464="Headphone",
"Sony",
IF(B464="Camera",
"Sony",
IF(B464="Printer",
"HP",
IF(B464="External Hard Disk",
"Western Digital",
"Other")))))))))</f>
        <v>Apple</v>
      </c>
      <c r="E464" t="str">
        <f t="shared" si="29"/>
        <v>Redington India</v>
      </c>
      <c r="F464">
        <f t="shared" si="30"/>
        <v>40000</v>
      </c>
      <c r="G464">
        <f t="shared" si="31"/>
        <v>44000</v>
      </c>
    </row>
    <row r="465" spans="1:7" x14ac:dyDescent="0.25">
      <c r="A465" t="s">
        <v>464</v>
      </c>
      <c r="B465" t="s">
        <v>1004</v>
      </c>
      <c r="C465" t="str">
        <f t="shared" si="28"/>
        <v>Electronics (Computing Devices)</v>
      </c>
      <c r="D465" t="str">
        <f>IF(B465="Smartphone",D466,
IF(B465="Smartwatch",
"Apple",
IF(B465="Laptop",
" Apple",
IF(B465="Desktop PC",
"Lenovo",
IF(B465="Tablet",
"Samsung",
IF(B465="Headphone",
"Sony",
IF(B465="Camera",
"Sony",
IF(B465="Printer",
"HP",
IF(B465="External Hard Disk",
"Western Digital",
"Other")))))))))</f>
        <v xml:space="preserve"> Apple</v>
      </c>
      <c r="E465" t="str">
        <f t="shared" si="29"/>
        <v>Ingram Micron India</v>
      </c>
      <c r="F465">
        <f t="shared" si="30"/>
        <v>35000</v>
      </c>
      <c r="G465">
        <f t="shared" si="31"/>
        <v>38500</v>
      </c>
    </row>
    <row r="466" spans="1:7" x14ac:dyDescent="0.25">
      <c r="A466" t="s">
        <v>465</v>
      </c>
      <c r="B466" t="s">
        <v>1009</v>
      </c>
      <c r="C466" t="str">
        <f t="shared" si="28"/>
        <v>Office Equipments</v>
      </c>
      <c r="D466" t="str">
        <f>IF(B466="Smartphone",D467,
IF(B466="Smartwatch",
"Apple",
IF(B466="Laptop",
" Apple",
IF(B466="Desktop PC",
"Lenovo",
IF(B466="Tablet",
"Samsung",
IF(B466="Headphone",
"Sony",
IF(B466="Camera",
"Sony",
IF(B466="Printer",
"HP",
IF(B466="External Hard Disk",
"Western Digital",
"Other")))))))))</f>
        <v>HP</v>
      </c>
      <c r="E466" t="str">
        <f t="shared" si="29"/>
        <v>Savex Technologies</v>
      </c>
      <c r="F466">
        <f t="shared" si="30"/>
        <v>40000</v>
      </c>
      <c r="G466">
        <f t="shared" si="31"/>
        <v>44000</v>
      </c>
    </row>
    <row r="467" spans="1:7" x14ac:dyDescent="0.25">
      <c r="A467" t="s">
        <v>466</v>
      </c>
      <c r="B467" t="s">
        <v>1009</v>
      </c>
      <c r="C467" t="str">
        <f t="shared" si="28"/>
        <v>Office Equipments</v>
      </c>
      <c r="D467" t="str">
        <f>IF(B467="Smartphone",D468,
IF(B467="Smartwatch",
"Apple",
IF(B467="Laptop",
" Apple",
IF(B467="Desktop PC",
"Lenovo",
IF(B467="Tablet",
"Samsung",
IF(B467="Headphone",
"Sony",
IF(B467="Camera",
"Sony",
IF(B467="Printer",
"HP",
IF(B467="External Hard Disk",
"Western Digital",
"Other")))))))))</f>
        <v>HP</v>
      </c>
      <c r="E467" t="str">
        <f t="shared" si="29"/>
        <v>Savex Technologies</v>
      </c>
      <c r="F467">
        <f t="shared" si="30"/>
        <v>40000</v>
      </c>
      <c r="G467">
        <f t="shared" si="31"/>
        <v>44000</v>
      </c>
    </row>
    <row r="468" spans="1:7" x14ac:dyDescent="0.25">
      <c r="A468" t="s">
        <v>467</v>
      </c>
      <c r="B468" t="s">
        <v>1004</v>
      </c>
      <c r="C468" t="str">
        <f t="shared" si="28"/>
        <v>Electronics (Computing Devices)</v>
      </c>
      <c r="D468" t="str">
        <f>IF(B468="Smartphone",D469,
IF(B468="Smartwatch",
"Apple",
IF(B468="Laptop",
" Apple",
IF(B468="Desktop PC",
"Lenovo",
IF(B468="Tablet",
"Samsung",
IF(B468="Headphone",
"Sony",
IF(B468="Camera",
"Sony",
IF(B468="Printer",
"HP",
IF(B468="External Hard Disk",
"Western Digital",
"Other")))))))))</f>
        <v xml:space="preserve"> Apple</v>
      </c>
      <c r="E468" t="str">
        <f t="shared" si="29"/>
        <v>Ingram Micron India</v>
      </c>
      <c r="F468">
        <f t="shared" si="30"/>
        <v>35000</v>
      </c>
      <c r="G468">
        <f t="shared" si="31"/>
        <v>38500</v>
      </c>
    </row>
    <row r="469" spans="1:7" x14ac:dyDescent="0.25">
      <c r="A469" t="s">
        <v>468</v>
      </c>
      <c r="B469" t="s">
        <v>1002</v>
      </c>
      <c r="C469" t="str">
        <f t="shared" si="28"/>
        <v>Electronics (Computing Devices)</v>
      </c>
      <c r="D469" t="str">
        <f>IF(B469="Smartphone",D470,
IF(B469="Smartwatch",
"Apple",
IF(B469="Laptop",
" Apple",
IF(B469="Desktop PC",
"Lenovo",
IF(B469="Tablet",
"Samsung",
IF(B469="Headphone",
"Sony",
IF(B469="Camera",
"Sony",
IF(B469="Printer",
"HP",
IF(B469="External Hard Disk",
"Western Digital",
"Other")))))))))</f>
        <v>Lenovo</v>
      </c>
      <c r="E469" t="str">
        <f t="shared" si="29"/>
        <v>Savex Technologies</v>
      </c>
      <c r="F469">
        <f t="shared" si="30"/>
        <v>45000</v>
      </c>
      <c r="G469">
        <f t="shared" si="31"/>
        <v>49500.000000000007</v>
      </c>
    </row>
    <row r="470" spans="1:7" x14ac:dyDescent="0.25">
      <c r="A470" t="s">
        <v>469</v>
      </c>
      <c r="B470" t="s">
        <v>1003</v>
      </c>
      <c r="C470" t="str">
        <f t="shared" si="28"/>
        <v>Electronics (Computing Devices)</v>
      </c>
      <c r="D470" t="str">
        <f>IF(B470="Smartphone",D471,
IF(B470="Smartwatch",
"Apple",
IF(B470="Laptop",
" Apple",
IF(B470="Desktop PC",
"Lenovo",
IF(B470="Tablet",
"Samsung",
IF(B470="Headphone",
"Sony",
IF(B470="Camera",
"Sony",
IF(B470="Printer",
"HP",
IF(B470="External Hard Disk",
"Western Digital",
"Other")))))))))</f>
        <v>Other</v>
      </c>
      <c r="E470" t="str">
        <f t="shared" si="29"/>
        <v>Ingram Micron India</v>
      </c>
      <c r="F470">
        <f t="shared" si="30"/>
        <v>35000</v>
      </c>
      <c r="G470">
        <f t="shared" si="31"/>
        <v>38500</v>
      </c>
    </row>
    <row r="471" spans="1:7" x14ac:dyDescent="0.25">
      <c r="A471" t="s">
        <v>470</v>
      </c>
      <c r="B471" t="s">
        <v>1013</v>
      </c>
      <c r="C471" t="str">
        <f t="shared" si="28"/>
        <v>Storage Devices</v>
      </c>
      <c r="D471" t="str">
        <f>IF(B471="Smartphone",D472,
IF(B471="Smartwatch",
"Apple",
IF(B471="Laptop",
" Apple",
IF(B471="Desktop PC",
"Lenovo",
IF(B471="Tablet",
"Samsung",
IF(B471="Headphone",
"Sony",
IF(B471="Camera",
"Sony",
IF(B471="Printer",
"HP",
IF(B471="External Hard Disk",
"Western Digital",
"Other")))))))))</f>
        <v>Western Digital</v>
      </c>
      <c r="E471" t="str">
        <f t="shared" si="29"/>
        <v>Ingram Micron India</v>
      </c>
      <c r="F471">
        <f t="shared" si="30"/>
        <v>35000</v>
      </c>
      <c r="G471">
        <f t="shared" si="31"/>
        <v>38500</v>
      </c>
    </row>
    <row r="472" spans="1:7" x14ac:dyDescent="0.25">
      <c r="A472" t="s">
        <v>471</v>
      </c>
      <c r="B472" t="s">
        <v>1013</v>
      </c>
      <c r="C472" t="str">
        <f t="shared" si="28"/>
        <v>Storage Devices</v>
      </c>
      <c r="D472" t="str">
        <f>IF(B472="Smartphone",D473,
IF(B472="Smartwatch",
"Apple",
IF(B472="Laptop",
" Apple",
IF(B472="Desktop PC",
"Lenovo",
IF(B472="Tablet",
"Samsung",
IF(B472="Headphone",
"Sony",
IF(B472="Camera",
"Sony",
IF(B472="Printer",
"HP",
IF(B472="External Hard Disk",
"Western Digital",
"Other")))))))))</f>
        <v>Western Digital</v>
      </c>
      <c r="E472" t="str">
        <f t="shared" si="29"/>
        <v>Ingram Micron India</v>
      </c>
      <c r="F472">
        <f t="shared" si="30"/>
        <v>35000</v>
      </c>
      <c r="G472">
        <f t="shared" si="31"/>
        <v>38500</v>
      </c>
    </row>
    <row r="473" spans="1:7" x14ac:dyDescent="0.25">
      <c r="A473" t="s">
        <v>472</v>
      </c>
      <c r="B473" t="s">
        <v>1003</v>
      </c>
      <c r="C473" t="str">
        <f t="shared" si="28"/>
        <v>Electronics (Computing Devices)</v>
      </c>
      <c r="D473" t="str">
        <f>IF(B473="Smartphone",D474,
IF(B473="Smartwatch",
"Apple",
IF(B473="Laptop",
" Apple",
IF(B473="Desktop PC",
"Lenovo",
IF(B473="Tablet",
"Samsung",
IF(B473="Headphone",
"Sony",
IF(B473="Camera",
"Sony",
IF(B473="Printer",
"HP",
IF(B473="External Hard Disk",
"Western Digital",
"Other")))))))))</f>
        <v>Other</v>
      </c>
      <c r="E473" t="str">
        <f t="shared" si="29"/>
        <v>Ingram Micron India</v>
      </c>
      <c r="F473">
        <f t="shared" si="30"/>
        <v>35000</v>
      </c>
      <c r="G473">
        <f t="shared" si="31"/>
        <v>38500</v>
      </c>
    </row>
    <row r="474" spans="1:7" x14ac:dyDescent="0.25">
      <c r="A474" t="s">
        <v>473</v>
      </c>
      <c r="B474" t="s">
        <v>1007</v>
      </c>
      <c r="C474" t="str">
        <f t="shared" si="28"/>
        <v>Mobile and Wearables</v>
      </c>
      <c r="D474" t="str">
        <f>IF(B474="Smartphone",D475,
IF(B474="Smartwatch",
"Apple",
IF(B474="Laptop",
" Apple",
IF(B474="Desktop PC",
"Lenovo",
IF(B474="Tablet",
"Samsung",
IF(B474="Headphone",
"Sony",
IF(B474="Camera",
"Sony",
IF(B474="Printer",
"HP",
IF(B474="External Hard Disk",
"Western Digital",
"Other")))))))))</f>
        <v>Other</v>
      </c>
      <c r="E474" t="str">
        <f t="shared" si="29"/>
        <v>Ingram Micron India</v>
      </c>
      <c r="F474">
        <f t="shared" si="30"/>
        <v>35000</v>
      </c>
      <c r="G474">
        <f t="shared" si="31"/>
        <v>38500</v>
      </c>
    </row>
    <row r="475" spans="1:7" x14ac:dyDescent="0.25">
      <c r="A475" t="s">
        <v>474</v>
      </c>
      <c r="B475" t="s">
        <v>1007</v>
      </c>
      <c r="C475" t="str">
        <f t="shared" si="28"/>
        <v>Mobile and Wearables</v>
      </c>
      <c r="D475" t="str">
        <f>IF(B475="Smartphone",D476,
IF(B475="Smartwatch",
"Apple",
IF(B475="Laptop",
" Apple",
IF(B475="Desktop PC",
"Lenovo",
IF(B475="Tablet",
"Samsung",
IF(B475="Headphone",
"Sony",
IF(B475="Camera",
"Sony",
IF(B475="Printer",
"HP",
IF(B475="External Hard Disk",
"Western Digital",
"Other")))))))))</f>
        <v>Other</v>
      </c>
      <c r="E475" t="str">
        <f t="shared" si="29"/>
        <v>Ingram Micron India</v>
      </c>
      <c r="F475">
        <f t="shared" si="30"/>
        <v>35000</v>
      </c>
      <c r="G475">
        <f t="shared" si="31"/>
        <v>38500</v>
      </c>
    </row>
    <row r="476" spans="1:7" x14ac:dyDescent="0.25">
      <c r="A476" t="s">
        <v>475</v>
      </c>
      <c r="B476" t="s">
        <v>1003</v>
      </c>
      <c r="C476" t="str">
        <f t="shared" si="28"/>
        <v>Electronics (Computing Devices)</v>
      </c>
      <c r="D476" t="str">
        <f>IF(B476="Smartphone",D477,
IF(B476="Smartwatch",
"Apple",
IF(B476="Laptop",
" Apple",
IF(B476="Desktop PC",
"Lenovo",
IF(B476="Tablet",
"Samsung",
IF(B476="Headphone",
"Sony",
IF(B476="Camera",
"Sony",
IF(B476="Printer",
"HP",
IF(B476="External Hard Disk",
"Western Digital",
"Other")))))))))</f>
        <v>Other</v>
      </c>
      <c r="E476" t="str">
        <f t="shared" si="29"/>
        <v>Ingram Micron India</v>
      </c>
      <c r="F476">
        <f t="shared" si="30"/>
        <v>35000</v>
      </c>
      <c r="G476">
        <f t="shared" si="31"/>
        <v>38500</v>
      </c>
    </row>
    <row r="477" spans="1:7" x14ac:dyDescent="0.25">
      <c r="A477" t="s">
        <v>476</v>
      </c>
      <c r="B477" t="s">
        <v>1005</v>
      </c>
      <c r="C477" t="str">
        <f t="shared" si="28"/>
        <v>Electronics (Computing Devices)</v>
      </c>
      <c r="D477" t="str">
        <f>IF(B477="Smartphone",D478,
IF(B477="Smartwatch",
"Apple",
IF(B477="Laptop",
" Apple",
IF(B477="Desktop PC",
"Lenovo",
IF(B477="Tablet",
"Samsung",
IF(B477="Headphone",
"Sony",
IF(B477="Camera",
"Sony",
IF(B477="Printer",
"HP",
IF(B477="External Hard Disk",
"Western Digital",
"Other")))))))))</f>
        <v>Samsung</v>
      </c>
      <c r="E477" t="str">
        <f t="shared" si="29"/>
        <v>Rashi Peripherals</v>
      </c>
      <c r="F477">
        <f t="shared" si="30"/>
        <v>30000</v>
      </c>
      <c r="G477">
        <f t="shared" si="31"/>
        <v>33000</v>
      </c>
    </row>
    <row r="478" spans="1:7" x14ac:dyDescent="0.25">
      <c r="A478" t="s">
        <v>477</v>
      </c>
      <c r="B478" t="s">
        <v>1009</v>
      </c>
      <c r="C478" t="str">
        <f t="shared" si="28"/>
        <v>Office Equipments</v>
      </c>
      <c r="D478" t="str">
        <f>IF(B478="Smartphone",D479,
IF(B478="Smartwatch",
"Apple",
IF(B478="Laptop",
" Apple",
IF(B478="Desktop PC",
"Lenovo",
IF(B478="Tablet",
"Samsung",
IF(B478="Headphone",
"Sony",
IF(B478="Camera",
"Sony",
IF(B478="Printer",
"HP",
IF(B478="External Hard Disk",
"Western Digital",
"Other")))))))))</f>
        <v>HP</v>
      </c>
      <c r="E478" t="str">
        <f t="shared" si="29"/>
        <v>Savex Technologies</v>
      </c>
      <c r="F478">
        <f t="shared" si="30"/>
        <v>40000</v>
      </c>
      <c r="G478">
        <f t="shared" si="31"/>
        <v>44000</v>
      </c>
    </row>
    <row r="479" spans="1:7" x14ac:dyDescent="0.25">
      <c r="A479" t="s">
        <v>478</v>
      </c>
      <c r="B479" t="s">
        <v>1012</v>
      </c>
      <c r="C479" t="str">
        <f t="shared" si="28"/>
        <v>Audio Devices</v>
      </c>
      <c r="D479" t="str">
        <f>IF(B479="Smartphone",D480,
IF(B479="Smartwatch",
"Apple",
IF(B479="Laptop",
" Apple",
IF(B479="Desktop PC",
"Lenovo",
IF(B479="Tablet",
"Samsung",
IF(B479="Headphone",
"Sony",
IF(B479="Camera",
"Sony",
IF(B479="Printer",
"HP",
IF(B479="External Hard Disk",
"Western Digital",
"Other")))))))))</f>
        <v>Sony</v>
      </c>
      <c r="E479" t="str">
        <f t="shared" si="29"/>
        <v>Supertron Electronics</v>
      </c>
      <c r="F479">
        <f t="shared" si="30"/>
        <v>60000</v>
      </c>
      <c r="G479">
        <f t="shared" si="31"/>
        <v>66000</v>
      </c>
    </row>
    <row r="480" spans="1:7" x14ac:dyDescent="0.25">
      <c r="A480" t="s">
        <v>479</v>
      </c>
      <c r="B480" t="s">
        <v>1001</v>
      </c>
      <c r="C480" t="str">
        <f t="shared" si="28"/>
        <v>Mobile and Wearables</v>
      </c>
      <c r="D480" t="str">
        <f>IF(B480="Smartphone",D481,
IF(B480="Smartwatch",
"Apple",
IF(B480="Laptop",
" Apple",
IF(B480="Desktop PC",
"Lenovo",
IF(B480="Tablet",
"Samsung",
IF(B480="Headphone",
"Sony",
IF(B480="Camera",
"Sony",
IF(B480="Printer",
"HP",
IF(B480="External Hard Disk",
"Western Digital",
"Other")))))))))</f>
        <v>Apple</v>
      </c>
      <c r="E480" t="str">
        <f t="shared" si="29"/>
        <v>Redington India</v>
      </c>
      <c r="F480">
        <f t="shared" si="30"/>
        <v>40000</v>
      </c>
      <c r="G480">
        <f t="shared" si="31"/>
        <v>44000</v>
      </c>
    </row>
    <row r="481" spans="1:7" x14ac:dyDescent="0.25">
      <c r="A481" t="s">
        <v>480</v>
      </c>
      <c r="B481" t="s">
        <v>1005</v>
      </c>
      <c r="C481" t="str">
        <f t="shared" si="28"/>
        <v>Electronics (Computing Devices)</v>
      </c>
      <c r="D481" t="str">
        <f>IF(B481="Smartphone",D482,
IF(B481="Smartwatch",
"Apple",
IF(B481="Laptop",
" Apple",
IF(B481="Desktop PC",
"Lenovo",
IF(B481="Tablet",
"Samsung",
IF(B481="Headphone",
"Sony",
IF(B481="Camera",
"Sony",
IF(B481="Printer",
"HP",
IF(B481="External Hard Disk",
"Western Digital",
"Other")))))))))</f>
        <v>Samsung</v>
      </c>
      <c r="E481" t="str">
        <f t="shared" si="29"/>
        <v>Rashi Peripherals</v>
      </c>
      <c r="F481">
        <f t="shared" si="30"/>
        <v>30000</v>
      </c>
      <c r="G481">
        <f t="shared" si="31"/>
        <v>33000</v>
      </c>
    </row>
    <row r="482" spans="1:7" x14ac:dyDescent="0.25">
      <c r="A482" t="s">
        <v>481</v>
      </c>
      <c r="B482" t="s">
        <v>1004</v>
      </c>
      <c r="C482" t="str">
        <f t="shared" si="28"/>
        <v>Electronics (Computing Devices)</v>
      </c>
      <c r="D482" t="str">
        <f>IF(B482="Smartphone",D483,
IF(B482="Smartwatch",
"Apple",
IF(B482="Laptop",
" Apple",
IF(B482="Desktop PC",
"Lenovo",
IF(B482="Tablet",
"Samsung",
IF(B482="Headphone",
"Sony",
IF(B482="Camera",
"Sony",
IF(B482="Printer",
"HP",
IF(B482="External Hard Disk",
"Western Digital",
"Other")))))))))</f>
        <v xml:space="preserve"> Apple</v>
      </c>
      <c r="E482" t="str">
        <f t="shared" si="29"/>
        <v>Ingram Micron India</v>
      </c>
      <c r="F482">
        <f t="shared" si="30"/>
        <v>35000</v>
      </c>
      <c r="G482">
        <f t="shared" si="31"/>
        <v>38500</v>
      </c>
    </row>
    <row r="483" spans="1:7" x14ac:dyDescent="0.25">
      <c r="A483" t="s">
        <v>482</v>
      </c>
      <c r="B483" t="s">
        <v>1012</v>
      </c>
      <c r="C483" t="str">
        <f t="shared" si="28"/>
        <v>Audio Devices</v>
      </c>
      <c r="D483" t="str">
        <f>IF(B483="Smartphone",D484,
IF(B483="Smartwatch",
"Apple",
IF(B483="Laptop",
" Apple",
IF(B483="Desktop PC",
"Lenovo",
IF(B483="Tablet",
"Samsung",
IF(B483="Headphone",
"Sony",
IF(B483="Camera",
"Sony",
IF(B483="Printer",
"HP",
IF(B483="External Hard Disk",
"Western Digital",
"Other")))))))))</f>
        <v>Sony</v>
      </c>
      <c r="E483" t="str">
        <f t="shared" si="29"/>
        <v>Supertron Electronics</v>
      </c>
      <c r="F483">
        <f t="shared" si="30"/>
        <v>60000</v>
      </c>
      <c r="G483">
        <f t="shared" si="31"/>
        <v>66000</v>
      </c>
    </row>
    <row r="484" spans="1:7" x14ac:dyDescent="0.25">
      <c r="A484" t="s">
        <v>483</v>
      </c>
      <c r="B484" t="s">
        <v>1001</v>
      </c>
      <c r="C484" t="str">
        <f t="shared" si="28"/>
        <v>Mobile and Wearables</v>
      </c>
      <c r="D484" t="str">
        <f>IF(B484="Smartphone",D485,
IF(B484="Smartwatch",
"Apple",
IF(B484="Laptop",
" Apple",
IF(B484="Desktop PC",
"Lenovo",
IF(B484="Tablet",
"Samsung",
IF(B484="Headphone",
"Sony",
IF(B484="Camera",
"Sony",
IF(B484="Printer",
"HP",
IF(B484="External Hard Disk",
"Western Digital",
"Other")))))))))</f>
        <v>Apple</v>
      </c>
      <c r="E484" t="str">
        <f t="shared" si="29"/>
        <v>Redington India</v>
      </c>
      <c r="F484">
        <f t="shared" si="30"/>
        <v>40000</v>
      </c>
      <c r="G484">
        <f t="shared" si="31"/>
        <v>44000</v>
      </c>
    </row>
    <row r="485" spans="1:7" x14ac:dyDescent="0.25">
      <c r="A485" t="s">
        <v>484</v>
      </c>
      <c r="B485" t="s">
        <v>1001</v>
      </c>
      <c r="C485" t="str">
        <f t="shared" si="28"/>
        <v>Mobile and Wearables</v>
      </c>
      <c r="D485" t="str">
        <f>IF(B485="Smartphone",D486,
IF(B485="Smartwatch",
"Apple",
IF(B485="Laptop",
" Apple",
IF(B485="Desktop PC",
"Lenovo",
IF(B485="Tablet",
"Samsung",
IF(B485="Headphone",
"Sony",
IF(B485="Camera",
"Sony",
IF(B485="Printer",
"HP",
IF(B485="External Hard Disk",
"Western Digital",
"Other")))))))))</f>
        <v>Apple</v>
      </c>
      <c r="E485" t="str">
        <f t="shared" si="29"/>
        <v>Redington India</v>
      </c>
      <c r="F485">
        <f t="shared" si="30"/>
        <v>40000</v>
      </c>
      <c r="G485">
        <f t="shared" si="31"/>
        <v>44000</v>
      </c>
    </row>
    <row r="486" spans="1:7" x14ac:dyDescent="0.25">
      <c r="A486" t="s">
        <v>485</v>
      </c>
      <c r="B486" t="s">
        <v>1013</v>
      </c>
      <c r="C486" t="str">
        <f t="shared" si="28"/>
        <v>Storage Devices</v>
      </c>
      <c r="D486" t="str">
        <f>IF(B486="Smartphone",D487,
IF(B486="Smartwatch",
"Apple",
IF(B486="Laptop",
" Apple",
IF(B486="Desktop PC",
"Lenovo",
IF(B486="Tablet",
"Samsung",
IF(B486="Headphone",
"Sony",
IF(B486="Camera",
"Sony",
IF(B486="Printer",
"HP",
IF(B486="External Hard Disk",
"Western Digital",
"Other")))))))))</f>
        <v>Western Digital</v>
      </c>
      <c r="E486" t="str">
        <f t="shared" si="29"/>
        <v>Ingram Micron India</v>
      </c>
      <c r="F486">
        <f t="shared" si="30"/>
        <v>35000</v>
      </c>
      <c r="G486">
        <f t="shared" si="31"/>
        <v>38500</v>
      </c>
    </row>
    <row r="487" spans="1:7" x14ac:dyDescent="0.25">
      <c r="A487" t="s">
        <v>486</v>
      </c>
      <c r="B487" t="s">
        <v>1004</v>
      </c>
      <c r="C487" t="str">
        <f t="shared" si="28"/>
        <v>Electronics (Computing Devices)</v>
      </c>
      <c r="D487" t="str">
        <f>IF(B487="Smartphone",D488,
IF(B487="Smartwatch",
"Apple",
IF(B487="Laptop",
" Apple",
IF(B487="Desktop PC",
"Lenovo",
IF(B487="Tablet",
"Samsung",
IF(B487="Headphone",
"Sony",
IF(B487="Camera",
"Sony",
IF(B487="Printer",
"HP",
IF(B487="External Hard Disk",
"Western Digital",
"Other")))))))))</f>
        <v xml:space="preserve"> Apple</v>
      </c>
      <c r="E487" t="str">
        <f t="shared" si="29"/>
        <v>Ingram Micron India</v>
      </c>
      <c r="F487">
        <f t="shared" si="30"/>
        <v>35000</v>
      </c>
      <c r="G487">
        <f t="shared" si="31"/>
        <v>38500</v>
      </c>
    </row>
    <row r="488" spans="1:7" x14ac:dyDescent="0.25">
      <c r="A488" t="s">
        <v>487</v>
      </c>
      <c r="B488" t="s">
        <v>1001</v>
      </c>
      <c r="C488" t="str">
        <f t="shared" si="28"/>
        <v>Mobile and Wearables</v>
      </c>
      <c r="D488" t="str">
        <f>IF(B488="Smartphone",D489,
IF(B488="Smartwatch",
"Apple",
IF(B488="Laptop",
" Apple",
IF(B488="Desktop PC",
"Lenovo",
IF(B488="Tablet",
"Samsung",
IF(B488="Headphone",
"Sony",
IF(B488="Camera",
"Sony",
IF(B488="Printer",
"HP",
IF(B488="External Hard Disk",
"Western Digital",
"Other")))))))))</f>
        <v>Apple</v>
      </c>
      <c r="E488" t="str">
        <f t="shared" si="29"/>
        <v>Redington India</v>
      </c>
      <c r="F488">
        <f t="shared" si="30"/>
        <v>40000</v>
      </c>
      <c r="G488">
        <f t="shared" si="31"/>
        <v>44000</v>
      </c>
    </row>
    <row r="489" spans="1:7" x14ac:dyDescent="0.25">
      <c r="A489" t="s">
        <v>488</v>
      </c>
      <c r="B489" t="s">
        <v>1003</v>
      </c>
      <c r="C489" t="str">
        <f t="shared" si="28"/>
        <v>Electronics (Computing Devices)</v>
      </c>
      <c r="D489" t="str">
        <f>IF(B489="Smartphone",D490,
IF(B489="Smartwatch",
"Apple",
IF(B489="Laptop",
" Apple",
IF(B489="Desktop PC",
"Lenovo",
IF(B489="Tablet",
"Samsung",
IF(B489="Headphone",
"Sony",
IF(B489="Camera",
"Sony",
IF(B489="Printer",
"HP",
IF(B489="External Hard Disk",
"Western Digital",
"Other")))))))))</f>
        <v>Other</v>
      </c>
      <c r="E489" t="str">
        <f t="shared" si="29"/>
        <v>Ingram Micron India</v>
      </c>
      <c r="F489">
        <f t="shared" si="30"/>
        <v>35000</v>
      </c>
      <c r="G489">
        <f t="shared" si="31"/>
        <v>38500</v>
      </c>
    </row>
    <row r="490" spans="1:7" x14ac:dyDescent="0.25">
      <c r="A490" t="s">
        <v>489</v>
      </c>
      <c r="B490" t="s">
        <v>1007</v>
      </c>
      <c r="C490" t="str">
        <f t="shared" si="28"/>
        <v>Mobile and Wearables</v>
      </c>
      <c r="D490" t="str">
        <f>IF(B490="Smartphone",D491,
IF(B490="Smartwatch",
"Apple",
IF(B490="Laptop",
" Apple",
IF(B490="Desktop PC",
"Lenovo",
IF(B490="Tablet",
"Samsung",
IF(B490="Headphone",
"Sony",
IF(B490="Camera",
"Sony",
IF(B490="Printer",
"HP",
IF(B490="External Hard Disk",
"Western Digital",
"Other")))))))))</f>
        <v>Apple</v>
      </c>
      <c r="E490" t="str">
        <f t="shared" si="29"/>
        <v>Redington India</v>
      </c>
      <c r="F490">
        <f t="shared" si="30"/>
        <v>40000</v>
      </c>
      <c r="G490">
        <f t="shared" si="31"/>
        <v>44000</v>
      </c>
    </row>
    <row r="491" spans="1:7" x14ac:dyDescent="0.25">
      <c r="A491" t="s">
        <v>490</v>
      </c>
      <c r="B491" t="s">
        <v>1001</v>
      </c>
      <c r="C491" t="str">
        <f t="shared" si="28"/>
        <v>Mobile and Wearables</v>
      </c>
      <c r="D491" t="str">
        <f>IF(B491="Smartphone",D492,
IF(B491="Smartwatch",
"Apple",
IF(B491="Laptop",
" Apple",
IF(B491="Desktop PC",
"Lenovo",
IF(B491="Tablet",
"Samsung",
IF(B491="Headphone",
"Sony",
IF(B491="Camera",
"Sony",
IF(B491="Printer",
"HP",
IF(B491="External Hard Disk",
"Western Digital",
"Other")))))))))</f>
        <v>Apple</v>
      </c>
      <c r="E491" t="str">
        <f t="shared" si="29"/>
        <v>Redington India</v>
      </c>
      <c r="F491">
        <f t="shared" si="30"/>
        <v>40000</v>
      </c>
      <c r="G491">
        <f t="shared" si="31"/>
        <v>44000</v>
      </c>
    </row>
    <row r="492" spans="1:7" x14ac:dyDescent="0.25">
      <c r="A492" t="s">
        <v>491</v>
      </c>
      <c r="B492" t="s">
        <v>1002</v>
      </c>
      <c r="C492" t="str">
        <f t="shared" si="28"/>
        <v>Electronics (Computing Devices)</v>
      </c>
      <c r="D492" t="str">
        <f>IF(B492="Smartphone",D493,
IF(B492="Smartwatch",
"Apple",
IF(B492="Laptop",
" Apple",
IF(B492="Desktop PC",
"Lenovo",
IF(B492="Tablet",
"Samsung",
IF(B492="Headphone",
"Sony",
IF(B492="Camera",
"Sony",
IF(B492="Printer",
"HP",
IF(B492="External Hard Disk",
"Western Digital",
"Other")))))))))</f>
        <v>Lenovo</v>
      </c>
      <c r="E492" t="str">
        <f t="shared" si="29"/>
        <v>Savex Technologies</v>
      </c>
      <c r="F492">
        <f t="shared" si="30"/>
        <v>45000</v>
      </c>
      <c r="G492">
        <f t="shared" si="31"/>
        <v>49500.000000000007</v>
      </c>
    </row>
    <row r="493" spans="1:7" x14ac:dyDescent="0.25">
      <c r="A493" t="s">
        <v>492</v>
      </c>
      <c r="B493" t="s">
        <v>1002</v>
      </c>
      <c r="C493" t="str">
        <f t="shared" si="28"/>
        <v>Electronics (Computing Devices)</v>
      </c>
      <c r="D493" t="str">
        <f>IF(B493="Smartphone",D494,
IF(B493="Smartwatch",
"Apple",
IF(B493="Laptop",
" Apple",
IF(B493="Desktop PC",
"Lenovo",
IF(B493="Tablet",
"Samsung",
IF(B493="Headphone",
"Sony",
IF(B493="Camera",
"Sony",
IF(B493="Printer",
"HP",
IF(B493="External Hard Disk",
"Western Digital",
"Other")))))))))</f>
        <v>Lenovo</v>
      </c>
      <c r="E493" t="str">
        <f t="shared" si="29"/>
        <v>Savex Technologies</v>
      </c>
      <c r="F493">
        <f t="shared" si="30"/>
        <v>45000</v>
      </c>
      <c r="G493">
        <f t="shared" si="31"/>
        <v>49500.000000000007</v>
      </c>
    </row>
    <row r="494" spans="1:7" x14ac:dyDescent="0.25">
      <c r="A494" t="s">
        <v>493</v>
      </c>
      <c r="B494" t="s">
        <v>1001</v>
      </c>
      <c r="C494" t="str">
        <f t="shared" si="28"/>
        <v>Mobile and Wearables</v>
      </c>
      <c r="D494" t="str">
        <f>IF(B494="Smartphone",D495,
IF(B494="Smartwatch",
"Apple",
IF(B494="Laptop",
" Apple",
IF(B494="Desktop PC",
"Lenovo",
IF(B494="Tablet",
"Samsung",
IF(B494="Headphone",
"Sony",
IF(B494="Camera",
"Sony",
IF(B494="Printer",
"HP",
IF(B494="External Hard Disk",
"Western Digital",
"Other")))))))))</f>
        <v>Apple</v>
      </c>
      <c r="E494" t="str">
        <f t="shared" si="29"/>
        <v>Redington India</v>
      </c>
      <c r="F494">
        <f t="shared" si="30"/>
        <v>40000</v>
      </c>
      <c r="G494">
        <f t="shared" si="31"/>
        <v>44000</v>
      </c>
    </row>
    <row r="495" spans="1:7" x14ac:dyDescent="0.25">
      <c r="A495" t="s">
        <v>494</v>
      </c>
      <c r="B495" t="s">
        <v>1001</v>
      </c>
      <c r="C495" t="str">
        <f t="shared" si="28"/>
        <v>Mobile and Wearables</v>
      </c>
      <c r="D495" t="str">
        <f>IF(B495="Smartphone",D496,
IF(B495="Smartwatch",
"Apple",
IF(B495="Laptop",
" Apple",
IF(B495="Desktop PC",
"Lenovo",
IF(B495="Tablet",
"Samsung",
IF(B495="Headphone",
"Sony",
IF(B495="Camera",
"Sony",
IF(B495="Printer",
"HP",
IF(B495="External Hard Disk",
"Western Digital",
"Other")))))))))</f>
        <v>Apple</v>
      </c>
      <c r="E495" t="str">
        <f t="shared" si="29"/>
        <v>Redington India</v>
      </c>
      <c r="F495">
        <f t="shared" si="30"/>
        <v>40000</v>
      </c>
      <c r="G495">
        <f t="shared" si="31"/>
        <v>44000</v>
      </c>
    </row>
    <row r="496" spans="1:7" x14ac:dyDescent="0.25">
      <c r="A496" t="s">
        <v>495</v>
      </c>
      <c r="B496" t="s">
        <v>1003</v>
      </c>
      <c r="C496" t="str">
        <f t="shared" si="28"/>
        <v>Electronics (Computing Devices)</v>
      </c>
      <c r="D496" t="str">
        <f>IF(B496="Smartphone",D497,
IF(B496="Smartwatch",
"Apple",
IF(B496="Laptop",
" Apple",
IF(B496="Desktop PC",
"Lenovo",
IF(B496="Tablet",
"Samsung",
IF(B496="Headphone",
"Sony",
IF(B496="Camera",
"Sony",
IF(B496="Printer",
"HP",
IF(B496="External Hard Disk",
"Western Digital",
"Other")))))))))</f>
        <v>Other</v>
      </c>
      <c r="E496" t="str">
        <f t="shared" si="29"/>
        <v>Ingram Micron India</v>
      </c>
      <c r="F496">
        <f t="shared" si="30"/>
        <v>35000</v>
      </c>
      <c r="G496">
        <f t="shared" si="31"/>
        <v>38500</v>
      </c>
    </row>
    <row r="497" spans="1:7" x14ac:dyDescent="0.25">
      <c r="A497" t="s">
        <v>496</v>
      </c>
      <c r="B497" t="s">
        <v>1009</v>
      </c>
      <c r="C497" t="str">
        <f t="shared" si="28"/>
        <v>Office Equipments</v>
      </c>
      <c r="D497" t="str">
        <f>IF(B497="Smartphone",D498,
IF(B497="Smartwatch",
"Apple",
IF(B497="Laptop",
" Apple",
IF(B497="Desktop PC",
"Lenovo",
IF(B497="Tablet",
"Samsung",
IF(B497="Headphone",
"Sony",
IF(B497="Camera",
"Sony",
IF(B497="Printer",
"HP",
IF(B497="External Hard Disk",
"Western Digital",
"Other")))))))))</f>
        <v>HP</v>
      </c>
      <c r="E497" t="str">
        <f t="shared" si="29"/>
        <v>Savex Technologies</v>
      </c>
      <c r="F497">
        <f t="shared" si="30"/>
        <v>40000</v>
      </c>
      <c r="G497">
        <f t="shared" si="31"/>
        <v>44000</v>
      </c>
    </row>
    <row r="498" spans="1:7" x14ac:dyDescent="0.25">
      <c r="A498" t="s">
        <v>497</v>
      </c>
      <c r="B498" t="s">
        <v>1005</v>
      </c>
      <c r="C498" t="str">
        <f t="shared" si="28"/>
        <v>Electronics (Computing Devices)</v>
      </c>
      <c r="D498" t="str">
        <f>IF(B498="Smartphone",D499,
IF(B498="Smartwatch",
"Apple",
IF(B498="Laptop",
" Apple",
IF(B498="Desktop PC",
"Lenovo",
IF(B498="Tablet",
"Samsung",
IF(B498="Headphone",
"Sony",
IF(B498="Camera",
"Sony",
IF(B498="Printer",
"HP",
IF(B498="External Hard Disk",
"Western Digital",
"Other")))))))))</f>
        <v>Samsung</v>
      </c>
      <c r="E498" t="str">
        <f t="shared" si="29"/>
        <v>Rashi Peripherals</v>
      </c>
      <c r="F498">
        <f t="shared" si="30"/>
        <v>30000</v>
      </c>
      <c r="G498">
        <f t="shared" si="31"/>
        <v>33000</v>
      </c>
    </row>
    <row r="499" spans="1:7" x14ac:dyDescent="0.25">
      <c r="A499" t="s">
        <v>498</v>
      </c>
      <c r="B499" t="s">
        <v>1005</v>
      </c>
      <c r="C499" t="str">
        <f t="shared" si="28"/>
        <v>Electronics (Computing Devices)</v>
      </c>
      <c r="D499" t="str">
        <f>IF(B499="Smartphone",D500,
IF(B499="Smartwatch",
"Apple",
IF(B499="Laptop",
" Apple",
IF(B499="Desktop PC",
"Lenovo",
IF(B499="Tablet",
"Samsung",
IF(B499="Headphone",
"Sony",
IF(B499="Camera",
"Sony",
IF(B499="Printer",
"HP",
IF(B499="External Hard Disk",
"Western Digital",
"Other")))))))))</f>
        <v>Samsung</v>
      </c>
      <c r="E499" t="str">
        <f t="shared" si="29"/>
        <v>Rashi Peripherals</v>
      </c>
      <c r="F499">
        <f t="shared" si="30"/>
        <v>30000</v>
      </c>
      <c r="G499">
        <f t="shared" si="31"/>
        <v>33000</v>
      </c>
    </row>
    <row r="500" spans="1:7" x14ac:dyDescent="0.25">
      <c r="A500" t="s">
        <v>499</v>
      </c>
      <c r="B500" t="s">
        <v>1012</v>
      </c>
      <c r="C500" t="str">
        <f t="shared" si="28"/>
        <v>Audio Devices</v>
      </c>
      <c r="D500" t="str">
        <f>IF(B500="Smartphone",D501,
IF(B500="Smartwatch",
"Apple",
IF(B500="Laptop",
" Apple",
IF(B500="Desktop PC",
"Lenovo",
IF(B500="Tablet",
"Samsung",
IF(B500="Headphone",
"Sony",
IF(B500="Camera",
"Sony",
IF(B500="Printer",
"HP",
IF(B500="External Hard Disk",
"Western Digital",
"Other")))))))))</f>
        <v>Sony</v>
      </c>
      <c r="E500" t="str">
        <f t="shared" si="29"/>
        <v>Supertron Electronics</v>
      </c>
      <c r="F500">
        <f t="shared" si="30"/>
        <v>60000</v>
      </c>
      <c r="G500">
        <f t="shared" si="31"/>
        <v>66000</v>
      </c>
    </row>
    <row r="501" spans="1:7" x14ac:dyDescent="0.25">
      <c r="A501" t="s">
        <v>500</v>
      </c>
      <c r="B501" t="s">
        <v>1005</v>
      </c>
      <c r="C501" t="str">
        <f t="shared" si="28"/>
        <v>Electronics (Computing Devices)</v>
      </c>
      <c r="D501" t="str">
        <f>IF(B501="Smartphone",D502,
IF(B501="Smartwatch",
"Apple",
IF(B501="Laptop",
" Apple",
IF(B501="Desktop PC",
"Lenovo",
IF(B501="Tablet",
"Samsung",
IF(B501="Headphone",
"Sony",
IF(B501="Camera",
"Sony",
IF(B501="Printer",
"HP",
IF(B501="External Hard Disk",
"Western Digital",
"Other")))))))))</f>
        <v>Samsung</v>
      </c>
      <c r="E501" t="str">
        <f t="shared" si="29"/>
        <v>Rashi Peripherals</v>
      </c>
      <c r="F501">
        <f t="shared" si="30"/>
        <v>30000</v>
      </c>
      <c r="G501">
        <f t="shared" si="31"/>
        <v>33000</v>
      </c>
    </row>
    <row r="502" spans="1:7" x14ac:dyDescent="0.25">
      <c r="A502" t="s">
        <v>501</v>
      </c>
      <c r="B502" t="s">
        <v>1001</v>
      </c>
      <c r="C502" t="str">
        <f t="shared" si="28"/>
        <v>Mobile and Wearables</v>
      </c>
      <c r="D502" t="str">
        <f>IF(B502="Smartphone",D503,
IF(B502="Smartwatch",
"Apple",
IF(B502="Laptop",
" Apple",
IF(B502="Desktop PC",
"Lenovo",
IF(B502="Tablet",
"Samsung",
IF(B502="Headphone",
"Sony",
IF(B502="Camera",
"Sony",
IF(B502="Printer",
"HP",
IF(B502="External Hard Disk",
"Western Digital",
"Other")))))))))</f>
        <v>Apple</v>
      </c>
      <c r="E502" t="str">
        <f t="shared" si="29"/>
        <v>Redington India</v>
      </c>
      <c r="F502">
        <f t="shared" si="30"/>
        <v>40000</v>
      </c>
      <c r="G502">
        <f t="shared" si="31"/>
        <v>44000</v>
      </c>
    </row>
    <row r="503" spans="1:7" x14ac:dyDescent="0.25">
      <c r="A503" t="s">
        <v>502</v>
      </c>
      <c r="B503" t="s">
        <v>1007</v>
      </c>
      <c r="C503" t="str">
        <f t="shared" si="28"/>
        <v>Mobile and Wearables</v>
      </c>
      <c r="D503" t="str">
        <f>IF(B503="Smartphone",D504,
IF(B503="Smartwatch",
"Apple",
IF(B503="Laptop",
" Apple",
IF(B503="Desktop PC",
"Lenovo",
IF(B503="Tablet",
"Samsung",
IF(B503="Headphone",
"Sony",
IF(B503="Camera",
"Sony",
IF(B503="Printer",
"HP",
IF(B503="External Hard Disk",
"Western Digital",
"Other")))))))))</f>
        <v>Lenovo</v>
      </c>
      <c r="E503" t="str">
        <f t="shared" si="29"/>
        <v>Savex Technologies</v>
      </c>
      <c r="F503">
        <f t="shared" si="30"/>
        <v>45000</v>
      </c>
      <c r="G503">
        <f t="shared" si="31"/>
        <v>49500.000000000007</v>
      </c>
    </row>
    <row r="504" spans="1:7" x14ac:dyDescent="0.25">
      <c r="A504" t="s">
        <v>503</v>
      </c>
      <c r="B504" t="s">
        <v>1002</v>
      </c>
      <c r="C504" t="str">
        <f t="shared" si="28"/>
        <v>Electronics (Computing Devices)</v>
      </c>
      <c r="D504" t="str">
        <f>IF(B504="Smartphone",D505,
IF(B504="Smartwatch",
"Apple",
IF(B504="Laptop",
" Apple",
IF(B504="Desktop PC",
"Lenovo",
IF(B504="Tablet",
"Samsung",
IF(B504="Headphone",
"Sony",
IF(B504="Camera",
"Sony",
IF(B504="Printer",
"HP",
IF(B504="External Hard Disk",
"Western Digital",
"Other")))))))))</f>
        <v>Lenovo</v>
      </c>
      <c r="E504" t="str">
        <f t="shared" si="29"/>
        <v>Savex Technologies</v>
      </c>
      <c r="F504">
        <f t="shared" si="30"/>
        <v>45000</v>
      </c>
      <c r="G504">
        <f t="shared" si="31"/>
        <v>49500.000000000007</v>
      </c>
    </row>
    <row r="505" spans="1:7" x14ac:dyDescent="0.25">
      <c r="A505" t="s">
        <v>504</v>
      </c>
      <c r="B505" t="s">
        <v>1009</v>
      </c>
      <c r="C505" t="str">
        <f t="shared" si="28"/>
        <v>Office Equipments</v>
      </c>
      <c r="D505" t="str">
        <f>IF(B505="Smartphone",D506,
IF(B505="Smartwatch",
"Apple",
IF(B505="Laptop",
" Apple",
IF(B505="Desktop PC",
"Lenovo",
IF(B505="Tablet",
"Samsung",
IF(B505="Headphone",
"Sony",
IF(B505="Camera",
"Sony",
IF(B505="Printer",
"HP",
IF(B505="External Hard Disk",
"Western Digital",
"Other")))))))))</f>
        <v>HP</v>
      </c>
      <c r="E505" t="str">
        <f t="shared" si="29"/>
        <v>Savex Technologies</v>
      </c>
      <c r="F505">
        <f t="shared" si="30"/>
        <v>40000</v>
      </c>
      <c r="G505">
        <f t="shared" si="31"/>
        <v>44000</v>
      </c>
    </row>
    <row r="506" spans="1:7" x14ac:dyDescent="0.25">
      <c r="A506" t="s">
        <v>505</v>
      </c>
      <c r="B506" t="s">
        <v>1010</v>
      </c>
      <c r="C506" t="str">
        <f t="shared" si="28"/>
        <v>Office Equipments</v>
      </c>
      <c r="D506" t="str">
        <f>IF(B506="Smartphone",D507,
IF(B506="Smartwatch",
"Apple",
IF(B506="Laptop",
" Apple",
IF(B506="Desktop PC",
"Lenovo",
IF(B506="Tablet",
"Samsung",
IF(B506="Headphone",
"Sony",
IF(B506="Camera",
"Sony",
IF(B506="Printer",
"HP",
IF(B506="External Hard Disk",
"Western Digital",
"Other")))))))))</f>
        <v>Sony</v>
      </c>
      <c r="E506" t="str">
        <f t="shared" si="29"/>
        <v>Supertron Electronics</v>
      </c>
      <c r="F506">
        <f t="shared" si="30"/>
        <v>60000</v>
      </c>
      <c r="G506">
        <f t="shared" si="31"/>
        <v>66000</v>
      </c>
    </row>
    <row r="507" spans="1:7" x14ac:dyDescent="0.25">
      <c r="A507" t="s">
        <v>506</v>
      </c>
      <c r="B507" t="s">
        <v>1005</v>
      </c>
      <c r="C507" t="str">
        <f t="shared" si="28"/>
        <v>Electronics (Computing Devices)</v>
      </c>
      <c r="D507" t="str">
        <f>IF(B507="Smartphone",D508,
IF(B507="Smartwatch",
"Apple",
IF(B507="Laptop",
" Apple",
IF(B507="Desktop PC",
"Lenovo",
IF(B507="Tablet",
"Samsung",
IF(B507="Headphone",
"Sony",
IF(B507="Camera",
"Sony",
IF(B507="Printer",
"HP",
IF(B507="External Hard Disk",
"Western Digital",
"Other")))))))))</f>
        <v>Samsung</v>
      </c>
      <c r="E507" t="str">
        <f t="shared" si="29"/>
        <v>Rashi Peripherals</v>
      </c>
      <c r="F507">
        <f t="shared" si="30"/>
        <v>30000</v>
      </c>
      <c r="G507">
        <f t="shared" si="31"/>
        <v>33000</v>
      </c>
    </row>
    <row r="508" spans="1:7" x14ac:dyDescent="0.25">
      <c r="A508" t="s">
        <v>507</v>
      </c>
      <c r="B508" t="s">
        <v>1007</v>
      </c>
      <c r="C508" t="str">
        <f t="shared" si="28"/>
        <v>Mobile and Wearables</v>
      </c>
      <c r="D508" t="str">
        <f>IF(B508="Smartphone",D509,
IF(B508="Smartwatch",
"Apple",
IF(B508="Laptop",
" Apple",
IF(B508="Desktop PC",
"Lenovo",
IF(B508="Tablet",
"Samsung",
IF(B508="Headphone",
"Sony",
IF(B508="Camera",
"Sony",
IF(B508="Printer",
"HP",
IF(B508="External Hard Disk",
"Western Digital",
"Other")))))))))</f>
        <v>Apple</v>
      </c>
      <c r="E508" t="str">
        <f t="shared" si="29"/>
        <v>Redington India</v>
      </c>
      <c r="F508">
        <f t="shared" si="30"/>
        <v>40000</v>
      </c>
      <c r="G508">
        <f t="shared" si="31"/>
        <v>44000</v>
      </c>
    </row>
    <row r="509" spans="1:7" x14ac:dyDescent="0.25">
      <c r="A509" t="s">
        <v>508</v>
      </c>
      <c r="B509" t="s">
        <v>1001</v>
      </c>
      <c r="C509" t="str">
        <f t="shared" si="28"/>
        <v>Mobile and Wearables</v>
      </c>
      <c r="D509" t="str">
        <f>IF(B509="Smartphone",D510,
IF(B509="Smartwatch",
"Apple",
IF(B509="Laptop",
" Apple",
IF(B509="Desktop PC",
"Lenovo",
IF(B509="Tablet",
"Samsung",
IF(B509="Headphone",
"Sony",
IF(B509="Camera",
"Sony",
IF(B509="Printer",
"HP",
IF(B509="External Hard Disk",
"Western Digital",
"Other")))))))))</f>
        <v>Apple</v>
      </c>
      <c r="E509" t="str">
        <f t="shared" si="29"/>
        <v>Redington India</v>
      </c>
      <c r="F509">
        <f t="shared" si="30"/>
        <v>40000</v>
      </c>
      <c r="G509">
        <f t="shared" si="31"/>
        <v>44000</v>
      </c>
    </row>
    <row r="510" spans="1:7" x14ac:dyDescent="0.25">
      <c r="A510" t="s">
        <v>509</v>
      </c>
      <c r="B510" t="s">
        <v>1007</v>
      </c>
      <c r="C510" t="str">
        <f t="shared" si="28"/>
        <v>Mobile and Wearables</v>
      </c>
      <c r="D510" t="str">
        <f>IF(B510="Smartphone",D511,
IF(B510="Smartwatch",
"Apple",
IF(B510="Laptop",
" Apple",
IF(B510="Desktop PC",
"Lenovo",
IF(B510="Tablet",
"Samsung",
IF(B510="Headphone",
"Sony",
IF(B510="Camera",
"Sony",
IF(B510="Printer",
"HP",
IF(B510="External Hard Disk",
"Western Digital",
"Other")))))))))</f>
        <v>Other</v>
      </c>
      <c r="E510" t="str">
        <f t="shared" si="29"/>
        <v>Ingram Micron India</v>
      </c>
      <c r="F510">
        <f t="shared" si="30"/>
        <v>35000</v>
      </c>
      <c r="G510">
        <f t="shared" si="31"/>
        <v>38500</v>
      </c>
    </row>
    <row r="511" spans="1:7" x14ac:dyDescent="0.25">
      <c r="A511" t="s">
        <v>510</v>
      </c>
      <c r="B511" t="s">
        <v>1003</v>
      </c>
      <c r="C511" t="str">
        <f t="shared" si="28"/>
        <v>Electronics (Computing Devices)</v>
      </c>
      <c r="D511" t="str">
        <f>IF(B511="Smartphone",D512,
IF(B511="Smartwatch",
"Apple",
IF(B511="Laptop",
" Apple",
IF(B511="Desktop PC",
"Lenovo",
IF(B511="Tablet",
"Samsung",
IF(B511="Headphone",
"Sony",
IF(B511="Camera",
"Sony",
IF(B511="Printer",
"HP",
IF(B511="External Hard Disk",
"Western Digital",
"Other")))))))))</f>
        <v>Other</v>
      </c>
      <c r="E511" t="str">
        <f t="shared" si="29"/>
        <v>Ingram Micron India</v>
      </c>
      <c r="F511">
        <f t="shared" si="30"/>
        <v>35000</v>
      </c>
      <c r="G511">
        <f t="shared" si="31"/>
        <v>38500</v>
      </c>
    </row>
    <row r="512" spans="1:7" x14ac:dyDescent="0.25">
      <c r="A512" t="s">
        <v>511</v>
      </c>
      <c r="B512" t="s">
        <v>1012</v>
      </c>
      <c r="C512" t="str">
        <f t="shared" si="28"/>
        <v>Audio Devices</v>
      </c>
      <c r="D512" t="str">
        <f>IF(B512="Smartphone",D513,
IF(B512="Smartwatch",
"Apple",
IF(B512="Laptop",
" Apple",
IF(B512="Desktop PC",
"Lenovo",
IF(B512="Tablet",
"Samsung",
IF(B512="Headphone",
"Sony",
IF(B512="Camera",
"Sony",
IF(B512="Printer",
"HP",
IF(B512="External Hard Disk",
"Western Digital",
"Other")))))))))</f>
        <v>Sony</v>
      </c>
      <c r="E512" t="str">
        <f t="shared" si="29"/>
        <v>Supertron Electronics</v>
      </c>
      <c r="F512">
        <f t="shared" si="30"/>
        <v>60000</v>
      </c>
      <c r="G512">
        <f t="shared" si="31"/>
        <v>66000</v>
      </c>
    </row>
    <row r="513" spans="1:7" x14ac:dyDescent="0.25">
      <c r="A513" t="s">
        <v>512</v>
      </c>
      <c r="B513" t="s">
        <v>1002</v>
      </c>
      <c r="C513" t="str">
        <f t="shared" si="28"/>
        <v>Electronics (Computing Devices)</v>
      </c>
      <c r="D513" t="str">
        <f>IF(B513="Smartphone",D514,
IF(B513="Smartwatch",
"Apple",
IF(B513="Laptop",
" Apple",
IF(B513="Desktop PC",
"Lenovo",
IF(B513="Tablet",
"Samsung",
IF(B513="Headphone",
"Sony",
IF(B513="Camera",
"Sony",
IF(B513="Printer",
"HP",
IF(B513="External Hard Disk",
"Western Digital",
"Other")))))))))</f>
        <v>Lenovo</v>
      </c>
      <c r="E513" t="str">
        <f t="shared" si="29"/>
        <v>Savex Technologies</v>
      </c>
      <c r="F513">
        <f t="shared" si="30"/>
        <v>45000</v>
      </c>
      <c r="G513">
        <f t="shared" si="31"/>
        <v>49500.000000000007</v>
      </c>
    </row>
    <row r="514" spans="1:7" x14ac:dyDescent="0.25">
      <c r="A514" t="s">
        <v>513</v>
      </c>
      <c r="B514" t="s">
        <v>1013</v>
      </c>
      <c r="C514" t="str">
        <f t="shared" si="28"/>
        <v>Storage Devices</v>
      </c>
      <c r="D514" t="str">
        <f>IF(B514="Smartphone",D515,
IF(B514="Smartwatch",
"Apple",
IF(B514="Laptop",
" Apple",
IF(B514="Desktop PC",
"Lenovo",
IF(B514="Tablet",
"Samsung",
IF(B514="Headphone",
"Sony",
IF(B514="Camera",
"Sony",
IF(B514="Printer",
"HP",
IF(B514="External Hard Disk",
"Western Digital",
"Other")))))))))</f>
        <v>Western Digital</v>
      </c>
      <c r="E514" t="str">
        <f t="shared" si="29"/>
        <v>Ingram Micron India</v>
      </c>
      <c r="F514">
        <f t="shared" si="30"/>
        <v>35000</v>
      </c>
      <c r="G514">
        <f t="shared" si="31"/>
        <v>38500</v>
      </c>
    </row>
    <row r="515" spans="1:7" x14ac:dyDescent="0.25">
      <c r="A515" t="s">
        <v>514</v>
      </c>
      <c r="B515" t="s">
        <v>1010</v>
      </c>
      <c r="C515" t="str">
        <f t="shared" ref="C515:C578" si="32">IF(OR(B515="Laptop",B515="Desktop PC",B515="Tablet",B515="E-Reader"),
"Electronics (Computing Devices)",
IF(OR(B515="Smartphone",B515="Smartwatch"),
"Mobile and Wearables",
IF(B515="Headphone",
"Audio Devices",
IF(OR(B515="Printer",B515="Camera"),
"Office Equipments",
IF(B515="External Hard Disk",
"Storage Devices",
"Other")))))</f>
        <v>Office Equipments</v>
      </c>
      <c r="D515" t="str">
        <f>IF(B515="Smartphone",D516,
IF(B515="Smartwatch",
"Apple",
IF(B515="Laptop",
" Apple",
IF(B515="Desktop PC",
"Lenovo",
IF(B515="Tablet",
"Samsung",
IF(B515="Headphone",
"Sony",
IF(B515="Camera",
"Sony",
IF(B515="Printer",
"HP",
IF(B515="External Hard Disk",
"Western Digital",
"Other")))))))))</f>
        <v>Sony</v>
      </c>
      <c r="E515" t="str">
        <f t="shared" ref="E515:E578" si="33">IF(D515="Apple",
"Redington India",
IF(D515="Samsung",
"Rashi Peripherals",
IF(D515="Sony",
"Supertron Electronics",
IF(OR(D515="Lenovo",D515="HP",D515="Dell"),
"Savex Technologies",
IF(C515="Printer",
"Rashi Peripherals",
IF(C515="Camera",
"Redington India",
IF(C515="External Hard Disk",
"Supertron Electronics",
"Ingram Micron India")))))))</f>
        <v>Supertron Electronics</v>
      </c>
      <c r="F515">
        <f t="shared" ref="F515:F578" si="34">IF(D515="Apple",
IF(C515="Smartphone",95000,
IF(C515="Tablet",75000,
IF(C515="Laptop",150000,
IF(C515="Smartwatch",90000,40000)))),
IF(D515="Samsung",
IF(C515="Smartphone",55000,
IF(C515="Tablet",40000,
IF(C515="Smartwatch",25000,30000))),
IF(D515="Lenovo",
IF(C515="Laptop",85000,
IF(C515="Desktop PC",70000,45000)),
IF(D515="HP",
IF(C515="Printer",30000,
IF(C515="Laptop",80000,40000)),
IF(D515="Sony",
IF(C515="Headphone",15000,
IF(C515="Camera",120000,60000)),
IF(C515="External Hard Disk",
IF(D515="Seagate",7000,
IF(D515="Western Digital",8000,7500)),
35000))))))</f>
        <v>60000</v>
      </c>
      <c r="G515">
        <f t="shared" ref="G515:G578" si="35">IF(C515="Smartphone",F515*1.1,
IF(C515="Laptop",F515*1.08,
IF(C515="Tablet",F515*1.12,
IF(C515="Smartwatch",F515*1.15,
IF(C515="Desktop PC",F515*1.07,
IF(C515="Printer",F515*1.18,
IF(C515="Camera",F515*1.12,
IF(C515="Headphone",F515*1.25,
IF(C515="External Hard Disk",F515*1.2,
F515*1.1)))))))))</f>
        <v>66000</v>
      </c>
    </row>
    <row r="516" spans="1:7" x14ac:dyDescent="0.25">
      <c r="A516" t="s">
        <v>515</v>
      </c>
      <c r="B516" t="s">
        <v>1005</v>
      </c>
      <c r="C516" t="str">
        <f t="shared" si="32"/>
        <v>Electronics (Computing Devices)</v>
      </c>
      <c r="D516" t="str">
        <f>IF(B516="Smartphone",D517,
IF(B516="Smartwatch",
"Apple",
IF(B516="Laptop",
" Apple",
IF(B516="Desktop PC",
"Lenovo",
IF(B516="Tablet",
"Samsung",
IF(B516="Headphone",
"Sony",
IF(B516="Camera",
"Sony",
IF(B516="Printer",
"HP",
IF(B516="External Hard Disk",
"Western Digital",
"Other")))))))))</f>
        <v>Samsung</v>
      </c>
      <c r="E516" t="str">
        <f t="shared" si="33"/>
        <v>Rashi Peripherals</v>
      </c>
      <c r="F516">
        <f t="shared" si="34"/>
        <v>30000</v>
      </c>
      <c r="G516">
        <f t="shared" si="35"/>
        <v>33000</v>
      </c>
    </row>
    <row r="517" spans="1:7" x14ac:dyDescent="0.25">
      <c r="A517" t="s">
        <v>516</v>
      </c>
      <c r="B517" t="s">
        <v>1002</v>
      </c>
      <c r="C517" t="str">
        <f t="shared" si="32"/>
        <v>Electronics (Computing Devices)</v>
      </c>
      <c r="D517" t="str">
        <f>IF(B517="Smartphone",D518,
IF(B517="Smartwatch",
"Apple",
IF(B517="Laptop",
" Apple",
IF(B517="Desktop PC",
"Lenovo",
IF(B517="Tablet",
"Samsung",
IF(B517="Headphone",
"Sony",
IF(B517="Camera",
"Sony",
IF(B517="Printer",
"HP",
IF(B517="External Hard Disk",
"Western Digital",
"Other")))))))))</f>
        <v>Lenovo</v>
      </c>
      <c r="E517" t="str">
        <f t="shared" si="33"/>
        <v>Savex Technologies</v>
      </c>
      <c r="F517">
        <f t="shared" si="34"/>
        <v>45000</v>
      </c>
      <c r="G517">
        <f t="shared" si="35"/>
        <v>49500.000000000007</v>
      </c>
    </row>
    <row r="518" spans="1:7" x14ac:dyDescent="0.25">
      <c r="A518" t="s">
        <v>517</v>
      </c>
      <c r="B518" t="s">
        <v>1010</v>
      </c>
      <c r="C518" t="str">
        <f t="shared" si="32"/>
        <v>Office Equipments</v>
      </c>
      <c r="D518" t="str">
        <f>IF(B518="Smartphone",D519,
IF(B518="Smartwatch",
"Apple",
IF(B518="Laptop",
" Apple",
IF(B518="Desktop PC",
"Lenovo",
IF(B518="Tablet",
"Samsung",
IF(B518="Headphone",
"Sony",
IF(B518="Camera",
"Sony",
IF(B518="Printer",
"HP",
IF(B518="External Hard Disk",
"Western Digital",
"Other")))))))))</f>
        <v>Sony</v>
      </c>
      <c r="E518" t="str">
        <f t="shared" si="33"/>
        <v>Supertron Electronics</v>
      </c>
      <c r="F518">
        <f t="shared" si="34"/>
        <v>60000</v>
      </c>
      <c r="G518">
        <f t="shared" si="35"/>
        <v>66000</v>
      </c>
    </row>
    <row r="519" spans="1:7" x14ac:dyDescent="0.25">
      <c r="A519" t="s">
        <v>518</v>
      </c>
      <c r="B519" t="s">
        <v>1001</v>
      </c>
      <c r="C519" t="str">
        <f t="shared" si="32"/>
        <v>Mobile and Wearables</v>
      </c>
      <c r="D519" t="str">
        <f>IF(B519="Smartphone",D520,
IF(B519="Smartwatch",
"Apple",
IF(B519="Laptop",
" Apple",
IF(B519="Desktop PC",
"Lenovo",
IF(B519="Tablet",
"Samsung",
IF(B519="Headphone",
"Sony",
IF(B519="Camera",
"Sony",
IF(B519="Printer",
"HP",
IF(B519="External Hard Disk",
"Western Digital",
"Other")))))))))</f>
        <v>Apple</v>
      </c>
      <c r="E519" t="str">
        <f t="shared" si="33"/>
        <v>Redington India</v>
      </c>
      <c r="F519">
        <f t="shared" si="34"/>
        <v>40000</v>
      </c>
      <c r="G519">
        <f t="shared" si="35"/>
        <v>44000</v>
      </c>
    </row>
    <row r="520" spans="1:7" x14ac:dyDescent="0.25">
      <c r="A520" t="s">
        <v>519</v>
      </c>
      <c r="B520" t="s">
        <v>1005</v>
      </c>
      <c r="C520" t="str">
        <f t="shared" si="32"/>
        <v>Electronics (Computing Devices)</v>
      </c>
      <c r="D520" t="str">
        <f>IF(B520="Smartphone",D521,
IF(B520="Smartwatch",
"Apple",
IF(B520="Laptop",
" Apple",
IF(B520="Desktop PC",
"Lenovo",
IF(B520="Tablet",
"Samsung",
IF(B520="Headphone",
"Sony",
IF(B520="Camera",
"Sony",
IF(B520="Printer",
"HP",
IF(B520="External Hard Disk",
"Western Digital",
"Other")))))))))</f>
        <v>Samsung</v>
      </c>
      <c r="E520" t="str">
        <f t="shared" si="33"/>
        <v>Rashi Peripherals</v>
      </c>
      <c r="F520">
        <f t="shared" si="34"/>
        <v>30000</v>
      </c>
      <c r="G520">
        <f t="shared" si="35"/>
        <v>33000</v>
      </c>
    </row>
    <row r="521" spans="1:7" x14ac:dyDescent="0.25">
      <c r="A521" t="s">
        <v>520</v>
      </c>
      <c r="B521" t="s">
        <v>1002</v>
      </c>
      <c r="C521" t="str">
        <f t="shared" si="32"/>
        <v>Electronics (Computing Devices)</v>
      </c>
      <c r="D521" t="str">
        <f>IF(B521="Smartphone",D522,
IF(B521="Smartwatch",
"Apple",
IF(B521="Laptop",
" Apple",
IF(B521="Desktop PC",
"Lenovo",
IF(B521="Tablet",
"Samsung",
IF(B521="Headphone",
"Sony",
IF(B521="Camera",
"Sony",
IF(B521="Printer",
"HP",
IF(B521="External Hard Disk",
"Western Digital",
"Other")))))))))</f>
        <v>Lenovo</v>
      </c>
      <c r="E521" t="str">
        <f t="shared" si="33"/>
        <v>Savex Technologies</v>
      </c>
      <c r="F521">
        <f t="shared" si="34"/>
        <v>45000</v>
      </c>
      <c r="G521">
        <f t="shared" si="35"/>
        <v>49500.000000000007</v>
      </c>
    </row>
    <row r="522" spans="1:7" x14ac:dyDescent="0.25">
      <c r="A522" t="s">
        <v>521</v>
      </c>
      <c r="B522" t="s">
        <v>1010</v>
      </c>
      <c r="C522" t="str">
        <f t="shared" si="32"/>
        <v>Office Equipments</v>
      </c>
      <c r="D522" t="str">
        <f>IF(B522="Smartphone",D523,
IF(B522="Smartwatch",
"Apple",
IF(B522="Laptop",
" Apple",
IF(B522="Desktop PC",
"Lenovo",
IF(B522="Tablet",
"Samsung",
IF(B522="Headphone",
"Sony",
IF(B522="Camera",
"Sony",
IF(B522="Printer",
"HP",
IF(B522="External Hard Disk",
"Western Digital",
"Other")))))))))</f>
        <v>Sony</v>
      </c>
      <c r="E522" t="str">
        <f t="shared" si="33"/>
        <v>Supertron Electronics</v>
      </c>
      <c r="F522">
        <f t="shared" si="34"/>
        <v>60000</v>
      </c>
      <c r="G522">
        <f t="shared" si="35"/>
        <v>66000</v>
      </c>
    </row>
    <row r="523" spans="1:7" x14ac:dyDescent="0.25">
      <c r="A523" t="s">
        <v>522</v>
      </c>
      <c r="B523" t="s">
        <v>1003</v>
      </c>
      <c r="C523" t="str">
        <f t="shared" si="32"/>
        <v>Electronics (Computing Devices)</v>
      </c>
      <c r="D523" t="str">
        <f>IF(B523="Smartphone",D524,
IF(B523="Smartwatch",
"Apple",
IF(B523="Laptop",
" Apple",
IF(B523="Desktop PC",
"Lenovo",
IF(B523="Tablet",
"Samsung",
IF(B523="Headphone",
"Sony",
IF(B523="Camera",
"Sony",
IF(B523="Printer",
"HP",
IF(B523="External Hard Disk",
"Western Digital",
"Other")))))))))</f>
        <v>Other</v>
      </c>
      <c r="E523" t="str">
        <f t="shared" si="33"/>
        <v>Ingram Micron India</v>
      </c>
      <c r="F523">
        <f t="shared" si="34"/>
        <v>35000</v>
      </c>
      <c r="G523">
        <f t="shared" si="35"/>
        <v>38500</v>
      </c>
    </row>
    <row r="524" spans="1:7" x14ac:dyDescent="0.25">
      <c r="A524" t="s">
        <v>523</v>
      </c>
      <c r="B524" t="s">
        <v>1009</v>
      </c>
      <c r="C524" t="str">
        <f t="shared" si="32"/>
        <v>Office Equipments</v>
      </c>
      <c r="D524" t="str">
        <f>IF(B524="Smartphone",D525,
IF(B524="Smartwatch",
"Apple",
IF(B524="Laptop",
" Apple",
IF(B524="Desktop PC",
"Lenovo",
IF(B524="Tablet",
"Samsung",
IF(B524="Headphone",
"Sony",
IF(B524="Camera",
"Sony",
IF(B524="Printer",
"HP",
IF(B524="External Hard Disk",
"Western Digital",
"Other")))))))))</f>
        <v>HP</v>
      </c>
      <c r="E524" t="str">
        <f t="shared" si="33"/>
        <v>Savex Technologies</v>
      </c>
      <c r="F524">
        <f t="shared" si="34"/>
        <v>40000</v>
      </c>
      <c r="G524">
        <f t="shared" si="35"/>
        <v>44000</v>
      </c>
    </row>
    <row r="525" spans="1:7" x14ac:dyDescent="0.25">
      <c r="A525" t="s">
        <v>524</v>
      </c>
      <c r="B525" t="s">
        <v>1003</v>
      </c>
      <c r="C525" t="str">
        <f t="shared" si="32"/>
        <v>Electronics (Computing Devices)</v>
      </c>
      <c r="D525" t="str">
        <f>IF(B525="Smartphone",D526,
IF(B525="Smartwatch",
"Apple",
IF(B525="Laptop",
" Apple",
IF(B525="Desktop PC",
"Lenovo",
IF(B525="Tablet",
"Samsung",
IF(B525="Headphone",
"Sony",
IF(B525="Camera",
"Sony",
IF(B525="Printer",
"HP",
IF(B525="External Hard Disk",
"Western Digital",
"Other")))))))))</f>
        <v>Other</v>
      </c>
      <c r="E525" t="str">
        <f t="shared" si="33"/>
        <v>Ingram Micron India</v>
      </c>
      <c r="F525">
        <f t="shared" si="34"/>
        <v>35000</v>
      </c>
      <c r="G525">
        <f t="shared" si="35"/>
        <v>38500</v>
      </c>
    </row>
    <row r="526" spans="1:7" x14ac:dyDescent="0.25">
      <c r="A526" t="s">
        <v>525</v>
      </c>
      <c r="B526" t="s">
        <v>1003</v>
      </c>
      <c r="C526" t="str">
        <f t="shared" si="32"/>
        <v>Electronics (Computing Devices)</v>
      </c>
      <c r="D526" t="str">
        <f>IF(B526="Smartphone",D527,
IF(B526="Smartwatch",
"Apple",
IF(B526="Laptop",
" Apple",
IF(B526="Desktop PC",
"Lenovo",
IF(B526="Tablet",
"Samsung",
IF(B526="Headphone",
"Sony",
IF(B526="Camera",
"Sony",
IF(B526="Printer",
"HP",
IF(B526="External Hard Disk",
"Western Digital",
"Other")))))))))</f>
        <v>Other</v>
      </c>
      <c r="E526" t="str">
        <f t="shared" si="33"/>
        <v>Ingram Micron India</v>
      </c>
      <c r="F526">
        <f t="shared" si="34"/>
        <v>35000</v>
      </c>
      <c r="G526">
        <f t="shared" si="35"/>
        <v>38500</v>
      </c>
    </row>
    <row r="527" spans="1:7" x14ac:dyDescent="0.25">
      <c r="A527" t="s">
        <v>526</v>
      </c>
      <c r="B527" t="s">
        <v>1003</v>
      </c>
      <c r="C527" t="str">
        <f t="shared" si="32"/>
        <v>Electronics (Computing Devices)</v>
      </c>
      <c r="D527" t="str">
        <f>IF(B527="Smartphone",D528,
IF(B527="Smartwatch",
"Apple",
IF(B527="Laptop",
" Apple",
IF(B527="Desktop PC",
"Lenovo",
IF(B527="Tablet",
"Samsung",
IF(B527="Headphone",
"Sony",
IF(B527="Camera",
"Sony",
IF(B527="Printer",
"HP",
IF(B527="External Hard Disk",
"Western Digital",
"Other")))))))))</f>
        <v>Other</v>
      </c>
      <c r="E527" t="str">
        <f t="shared" si="33"/>
        <v>Ingram Micron India</v>
      </c>
      <c r="F527">
        <f t="shared" si="34"/>
        <v>35000</v>
      </c>
      <c r="G527">
        <f t="shared" si="35"/>
        <v>38500</v>
      </c>
    </row>
    <row r="528" spans="1:7" x14ac:dyDescent="0.25">
      <c r="A528" t="s">
        <v>527</v>
      </c>
      <c r="B528" t="s">
        <v>1003</v>
      </c>
      <c r="C528" t="str">
        <f t="shared" si="32"/>
        <v>Electronics (Computing Devices)</v>
      </c>
      <c r="D528" t="str">
        <f>IF(B528="Smartphone",D529,
IF(B528="Smartwatch",
"Apple",
IF(B528="Laptop",
" Apple",
IF(B528="Desktop PC",
"Lenovo",
IF(B528="Tablet",
"Samsung",
IF(B528="Headphone",
"Sony",
IF(B528="Camera",
"Sony",
IF(B528="Printer",
"HP",
IF(B528="External Hard Disk",
"Western Digital",
"Other")))))))))</f>
        <v>Other</v>
      </c>
      <c r="E528" t="str">
        <f t="shared" si="33"/>
        <v>Ingram Micron India</v>
      </c>
      <c r="F528">
        <f t="shared" si="34"/>
        <v>35000</v>
      </c>
      <c r="G528">
        <f t="shared" si="35"/>
        <v>38500</v>
      </c>
    </row>
    <row r="529" spans="1:7" x14ac:dyDescent="0.25">
      <c r="A529" t="s">
        <v>528</v>
      </c>
      <c r="B529" t="s">
        <v>1013</v>
      </c>
      <c r="C529" t="str">
        <f t="shared" si="32"/>
        <v>Storage Devices</v>
      </c>
      <c r="D529" t="str">
        <f>IF(B529="Smartphone",D530,
IF(B529="Smartwatch",
"Apple",
IF(B529="Laptop",
" Apple",
IF(B529="Desktop PC",
"Lenovo",
IF(B529="Tablet",
"Samsung",
IF(B529="Headphone",
"Sony",
IF(B529="Camera",
"Sony",
IF(B529="Printer",
"HP",
IF(B529="External Hard Disk",
"Western Digital",
"Other")))))))))</f>
        <v>Western Digital</v>
      </c>
      <c r="E529" t="str">
        <f t="shared" si="33"/>
        <v>Ingram Micron India</v>
      </c>
      <c r="F529">
        <f t="shared" si="34"/>
        <v>35000</v>
      </c>
      <c r="G529">
        <f t="shared" si="35"/>
        <v>38500</v>
      </c>
    </row>
    <row r="530" spans="1:7" x14ac:dyDescent="0.25">
      <c r="A530" t="s">
        <v>529</v>
      </c>
      <c r="B530" t="s">
        <v>1013</v>
      </c>
      <c r="C530" t="str">
        <f t="shared" si="32"/>
        <v>Storage Devices</v>
      </c>
      <c r="D530" t="str">
        <f>IF(B530="Smartphone",D531,
IF(B530="Smartwatch",
"Apple",
IF(B530="Laptop",
" Apple",
IF(B530="Desktop PC",
"Lenovo",
IF(B530="Tablet",
"Samsung",
IF(B530="Headphone",
"Sony",
IF(B530="Camera",
"Sony",
IF(B530="Printer",
"HP",
IF(B530="External Hard Disk",
"Western Digital",
"Other")))))))))</f>
        <v>Western Digital</v>
      </c>
      <c r="E530" t="str">
        <f t="shared" si="33"/>
        <v>Ingram Micron India</v>
      </c>
      <c r="F530">
        <f t="shared" si="34"/>
        <v>35000</v>
      </c>
      <c r="G530">
        <f t="shared" si="35"/>
        <v>38500</v>
      </c>
    </row>
    <row r="531" spans="1:7" x14ac:dyDescent="0.25">
      <c r="A531" t="s">
        <v>530</v>
      </c>
      <c r="B531" t="s">
        <v>1001</v>
      </c>
      <c r="C531" t="str">
        <f t="shared" si="32"/>
        <v>Mobile and Wearables</v>
      </c>
      <c r="D531" t="str">
        <f>IF(B531="Smartphone",D532,
IF(B531="Smartwatch",
"Apple",
IF(B531="Laptop",
" Apple",
IF(B531="Desktop PC",
"Lenovo",
IF(B531="Tablet",
"Samsung",
IF(B531="Headphone",
"Sony",
IF(B531="Camera",
"Sony",
IF(B531="Printer",
"HP",
IF(B531="External Hard Disk",
"Western Digital",
"Other")))))))))</f>
        <v>Apple</v>
      </c>
      <c r="E531" t="str">
        <f t="shared" si="33"/>
        <v>Redington India</v>
      </c>
      <c r="F531">
        <f t="shared" si="34"/>
        <v>40000</v>
      </c>
      <c r="G531">
        <f t="shared" si="35"/>
        <v>44000</v>
      </c>
    </row>
    <row r="532" spans="1:7" x14ac:dyDescent="0.25">
      <c r="A532" t="s">
        <v>531</v>
      </c>
      <c r="B532" t="s">
        <v>1012</v>
      </c>
      <c r="C532" t="str">
        <f t="shared" si="32"/>
        <v>Audio Devices</v>
      </c>
      <c r="D532" t="str">
        <f>IF(B532="Smartphone",D533,
IF(B532="Smartwatch",
"Apple",
IF(B532="Laptop",
" Apple",
IF(B532="Desktop PC",
"Lenovo",
IF(B532="Tablet",
"Samsung",
IF(B532="Headphone",
"Sony",
IF(B532="Camera",
"Sony",
IF(B532="Printer",
"HP",
IF(B532="External Hard Disk",
"Western Digital",
"Other")))))))))</f>
        <v>Sony</v>
      </c>
      <c r="E532" t="str">
        <f t="shared" si="33"/>
        <v>Supertron Electronics</v>
      </c>
      <c r="F532">
        <f t="shared" si="34"/>
        <v>60000</v>
      </c>
      <c r="G532">
        <f t="shared" si="35"/>
        <v>66000</v>
      </c>
    </row>
    <row r="533" spans="1:7" x14ac:dyDescent="0.25">
      <c r="A533" t="s">
        <v>532</v>
      </c>
      <c r="B533" t="s">
        <v>1005</v>
      </c>
      <c r="C533" t="str">
        <f t="shared" si="32"/>
        <v>Electronics (Computing Devices)</v>
      </c>
      <c r="D533" t="str">
        <f>IF(B533="Smartphone",D534,
IF(B533="Smartwatch",
"Apple",
IF(B533="Laptop",
" Apple",
IF(B533="Desktop PC",
"Lenovo",
IF(B533="Tablet",
"Samsung",
IF(B533="Headphone",
"Sony",
IF(B533="Camera",
"Sony",
IF(B533="Printer",
"HP",
IF(B533="External Hard Disk",
"Western Digital",
"Other")))))))))</f>
        <v>Samsung</v>
      </c>
      <c r="E533" t="str">
        <f t="shared" si="33"/>
        <v>Rashi Peripherals</v>
      </c>
      <c r="F533">
        <f t="shared" si="34"/>
        <v>30000</v>
      </c>
      <c r="G533">
        <f t="shared" si="35"/>
        <v>33000</v>
      </c>
    </row>
    <row r="534" spans="1:7" x14ac:dyDescent="0.25">
      <c r="A534" t="s">
        <v>533</v>
      </c>
      <c r="B534" t="s">
        <v>1003</v>
      </c>
      <c r="C534" t="str">
        <f t="shared" si="32"/>
        <v>Electronics (Computing Devices)</v>
      </c>
      <c r="D534" t="str">
        <f>IF(B534="Smartphone",D535,
IF(B534="Smartwatch",
"Apple",
IF(B534="Laptop",
" Apple",
IF(B534="Desktop PC",
"Lenovo",
IF(B534="Tablet",
"Samsung",
IF(B534="Headphone",
"Sony",
IF(B534="Camera",
"Sony",
IF(B534="Printer",
"HP",
IF(B534="External Hard Disk",
"Western Digital",
"Other")))))))))</f>
        <v>Other</v>
      </c>
      <c r="E534" t="str">
        <f t="shared" si="33"/>
        <v>Ingram Micron India</v>
      </c>
      <c r="F534">
        <f t="shared" si="34"/>
        <v>35000</v>
      </c>
      <c r="G534">
        <f t="shared" si="35"/>
        <v>38500</v>
      </c>
    </row>
    <row r="535" spans="1:7" x14ac:dyDescent="0.25">
      <c r="A535" t="s">
        <v>534</v>
      </c>
      <c r="B535" t="s">
        <v>1010</v>
      </c>
      <c r="C535" t="str">
        <f t="shared" si="32"/>
        <v>Office Equipments</v>
      </c>
      <c r="D535" t="str">
        <f>IF(B535="Smartphone",D536,
IF(B535="Smartwatch",
"Apple",
IF(B535="Laptop",
" Apple",
IF(B535="Desktop PC",
"Lenovo",
IF(B535="Tablet",
"Samsung",
IF(B535="Headphone",
"Sony",
IF(B535="Camera",
"Sony",
IF(B535="Printer",
"HP",
IF(B535="External Hard Disk",
"Western Digital",
"Other")))))))))</f>
        <v>Sony</v>
      </c>
      <c r="E535" t="str">
        <f t="shared" si="33"/>
        <v>Supertron Electronics</v>
      </c>
      <c r="F535">
        <f t="shared" si="34"/>
        <v>60000</v>
      </c>
      <c r="G535">
        <f t="shared" si="35"/>
        <v>66000</v>
      </c>
    </row>
    <row r="536" spans="1:7" x14ac:dyDescent="0.25">
      <c r="A536" t="s">
        <v>535</v>
      </c>
      <c r="B536" t="s">
        <v>1009</v>
      </c>
      <c r="C536" t="str">
        <f t="shared" si="32"/>
        <v>Office Equipments</v>
      </c>
      <c r="D536" t="str">
        <f>IF(B536="Smartphone",D537,
IF(B536="Smartwatch",
"Apple",
IF(B536="Laptop",
" Apple",
IF(B536="Desktop PC",
"Lenovo",
IF(B536="Tablet",
"Samsung",
IF(B536="Headphone",
"Sony",
IF(B536="Camera",
"Sony",
IF(B536="Printer",
"HP",
IF(B536="External Hard Disk",
"Western Digital",
"Other")))))))))</f>
        <v>HP</v>
      </c>
      <c r="E536" t="str">
        <f t="shared" si="33"/>
        <v>Savex Technologies</v>
      </c>
      <c r="F536">
        <f t="shared" si="34"/>
        <v>40000</v>
      </c>
      <c r="G536">
        <f t="shared" si="35"/>
        <v>44000</v>
      </c>
    </row>
    <row r="537" spans="1:7" x14ac:dyDescent="0.25">
      <c r="A537" t="s">
        <v>536</v>
      </c>
      <c r="B537" t="s">
        <v>1001</v>
      </c>
      <c r="C537" t="str">
        <f t="shared" si="32"/>
        <v>Mobile and Wearables</v>
      </c>
      <c r="D537" t="str">
        <f>IF(B537="Smartphone",D538,
IF(B537="Smartwatch",
"Apple",
IF(B537="Laptop",
" Apple",
IF(B537="Desktop PC",
"Lenovo",
IF(B537="Tablet",
"Samsung",
IF(B537="Headphone",
"Sony",
IF(B537="Camera",
"Sony",
IF(B537="Printer",
"HP",
IF(B537="External Hard Disk",
"Western Digital",
"Other")))))))))</f>
        <v>Apple</v>
      </c>
      <c r="E537" t="str">
        <f t="shared" si="33"/>
        <v>Redington India</v>
      </c>
      <c r="F537">
        <f t="shared" si="34"/>
        <v>40000</v>
      </c>
      <c r="G537">
        <f t="shared" si="35"/>
        <v>44000</v>
      </c>
    </row>
    <row r="538" spans="1:7" x14ac:dyDescent="0.25">
      <c r="A538" t="s">
        <v>537</v>
      </c>
      <c r="B538" t="s">
        <v>1009</v>
      </c>
      <c r="C538" t="str">
        <f t="shared" si="32"/>
        <v>Office Equipments</v>
      </c>
      <c r="D538" t="str">
        <f>IF(B538="Smartphone",D539,
IF(B538="Smartwatch",
"Apple",
IF(B538="Laptop",
" Apple",
IF(B538="Desktop PC",
"Lenovo",
IF(B538="Tablet",
"Samsung",
IF(B538="Headphone",
"Sony",
IF(B538="Camera",
"Sony",
IF(B538="Printer",
"HP",
IF(B538="External Hard Disk",
"Western Digital",
"Other")))))))))</f>
        <v>HP</v>
      </c>
      <c r="E538" t="str">
        <f t="shared" si="33"/>
        <v>Savex Technologies</v>
      </c>
      <c r="F538">
        <f t="shared" si="34"/>
        <v>40000</v>
      </c>
      <c r="G538">
        <f t="shared" si="35"/>
        <v>44000</v>
      </c>
    </row>
    <row r="539" spans="1:7" x14ac:dyDescent="0.25">
      <c r="A539" t="s">
        <v>538</v>
      </c>
      <c r="B539" t="s">
        <v>1002</v>
      </c>
      <c r="C539" t="str">
        <f t="shared" si="32"/>
        <v>Electronics (Computing Devices)</v>
      </c>
      <c r="D539" t="str">
        <f>IF(B539="Smartphone",D540,
IF(B539="Smartwatch",
"Apple",
IF(B539="Laptop",
" Apple",
IF(B539="Desktop PC",
"Lenovo",
IF(B539="Tablet",
"Samsung",
IF(B539="Headphone",
"Sony",
IF(B539="Camera",
"Sony",
IF(B539="Printer",
"HP",
IF(B539="External Hard Disk",
"Western Digital",
"Other")))))))))</f>
        <v>Lenovo</v>
      </c>
      <c r="E539" t="str">
        <f t="shared" si="33"/>
        <v>Savex Technologies</v>
      </c>
      <c r="F539">
        <f t="shared" si="34"/>
        <v>45000</v>
      </c>
      <c r="G539">
        <f t="shared" si="35"/>
        <v>49500.000000000007</v>
      </c>
    </row>
    <row r="540" spans="1:7" x14ac:dyDescent="0.25">
      <c r="A540" t="s">
        <v>539</v>
      </c>
      <c r="B540" t="s">
        <v>1007</v>
      </c>
      <c r="C540" t="str">
        <f t="shared" si="32"/>
        <v>Mobile and Wearables</v>
      </c>
      <c r="D540" t="str">
        <f>IF(B540="Smartphone",D541,
IF(B540="Smartwatch",
"Apple",
IF(B540="Laptop",
" Apple",
IF(B540="Desktop PC",
"Lenovo",
IF(B540="Tablet",
"Samsung",
IF(B540="Headphone",
"Sony",
IF(B540="Camera",
"Sony",
IF(B540="Printer",
"HP",
IF(B540="External Hard Disk",
"Western Digital",
"Other")))))))))</f>
        <v>HP</v>
      </c>
      <c r="E540" t="str">
        <f t="shared" si="33"/>
        <v>Savex Technologies</v>
      </c>
      <c r="F540">
        <f t="shared" si="34"/>
        <v>40000</v>
      </c>
      <c r="G540">
        <f t="shared" si="35"/>
        <v>44000</v>
      </c>
    </row>
    <row r="541" spans="1:7" x14ac:dyDescent="0.25">
      <c r="A541" t="s">
        <v>540</v>
      </c>
      <c r="B541" t="s">
        <v>1009</v>
      </c>
      <c r="C541" t="str">
        <f t="shared" si="32"/>
        <v>Office Equipments</v>
      </c>
      <c r="D541" t="str">
        <f>IF(B541="Smartphone",D542,
IF(B541="Smartwatch",
"Apple",
IF(B541="Laptop",
" Apple",
IF(B541="Desktop PC",
"Lenovo",
IF(B541="Tablet",
"Samsung",
IF(B541="Headphone",
"Sony",
IF(B541="Camera",
"Sony",
IF(B541="Printer",
"HP",
IF(B541="External Hard Disk",
"Western Digital",
"Other")))))))))</f>
        <v>HP</v>
      </c>
      <c r="E541" t="str">
        <f t="shared" si="33"/>
        <v>Savex Technologies</v>
      </c>
      <c r="F541">
        <f t="shared" si="34"/>
        <v>40000</v>
      </c>
      <c r="G541">
        <f t="shared" si="35"/>
        <v>44000</v>
      </c>
    </row>
    <row r="542" spans="1:7" x14ac:dyDescent="0.25">
      <c r="A542" t="s">
        <v>541</v>
      </c>
      <c r="B542" t="s">
        <v>1010</v>
      </c>
      <c r="C542" t="str">
        <f t="shared" si="32"/>
        <v>Office Equipments</v>
      </c>
      <c r="D542" t="str">
        <f>IF(B542="Smartphone",D543,
IF(B542="Smartwatch",
"Apple",
IF(B542="Laptop",
" Apple",
IF(B542="Desktop PC",
"Lenovo",
IF(B542="Tablet",
"Samsung",
IF(B542="Headphone",
"Sony",
IF(B542="Camera",
"Sony",
IF(B542="Printer",
"HP",
IF(B542="External Hard Disk",
"Western Digital",
"Other")))))))))</f>
        <v>Sony</v>
      </c>
      <c r="E542" t="str">
        <f t="shared" si="33"/>
        <v>Supertron Electronics</v>
      </c>
      <c r="F542">
        <f t="shared" si="34"/>
        <v>60000</v>
      </c>
      <c r="G542">
        <f t="shared" si="35"/>
        <v>66000</v>
      </c>
    </row>
    <row r="543" spans="1:7" x14ac:dyDescent="0.25">
      <c r="A543" t="s">
        <v>542</v>
      </c>
      <c r="B543" t="s">
        <v>1009</v>
      </c>
      <c r="C543" t="str">
        <f t="shared" si="32"/>
        <v>Office Equipments</v>
      </c>
      <c r="D543" t="str">
        <f>IF(B543="Smartphone",D544,
IF(B543="Smartwatch",
"Apple",
IF(B543="Laptop",
" Apple",
IF(B543="Desktop PC",
"Lenovo",
IF(B543="Tablet",
"Samsung",
IF(B543="Headphone",
"Sony",
IF(B543="Camera",
"Sony",
IF(B543="Printer",
"HP",
IF(B543="External Hard Disk",
"Western Digital",
"Other")))))))))</f>
        <v>HP</v>
      </c>
      <c r="E543" t="str">
        <f t="shared" si="33"/>
        <v>Savex Technologies</v>
      </c>
      <c r="F543">
        <f t="shared" si="34"/>
        <v>40000</v>
      </c>
      <c r="G543">
        <f t="shared" si="35"/>
        <v>44000</v>
      </c>
    </row>
    <row r="544" spans="1:7" x14ac:dyDescent="0.25">
      <c r="A544" t="s">
        <v>543</v>
      </c>
      <c r="B544" t="s">
        <v>1005</v>
      </c>
      <c r="C544" t="str">
        <f t="shared" si="32"/>
        <v>Electronics (Computing Devices)</v>
      </c>
      <c r="D544" t="str">
        <f>IF(B544="Smartphone",D545,
IF(B544="Smartwatch",
"Apple",
IF(B544="Laptop",
" Apple",
IF(B544="Desktop PC",
"Lenovo",
IF(B544="Tablet",
"Samsung",
IF(B544="Headphone",
"Sony",
IF(B544="Camera",
"Sony",
IF(B544="Printer",
"HP",
IF(B544="External Hard Disk",
"Western Digital",
"Other")))))))))</f>
        <v>Samsung</v>
      </c>
      <c r="E544" t="str">
        <f t="shared" si="33"/>
        <v>Rashi Peripherals</v>
      </c>
      <c r="F544">
        <f t="shared" si="34"/>
        <v>30000</v>
      </c>
      <c r="G544">
        <f t="shared" si="35"/>
        <v>33000</v>
      </c>
    </row>
    <row r="545" spans="1:7" x14ac:dyDescent="0.25">
      <c r="A545" t="s">
        <v>544</v>
      </c>
      <c r="B545" t="s">
        <v>1002</v>
      </c>
      <c r="C545" t="str">
        <f t="shared" si="32"/>
        <v>Electronics (Computing Devices)</v>
      </c>
      <c r="D545" t="str">
        <f>IF(B545="Smartphone",D546,
IF(B545="Smartwatch",
"Apple",
IF(B545="Laptop",
" Apple",
IF(B545="Desktop PC",
"Lenovo",
IF(B545="Tablet",
"Samsung",
IF(B545="Headphone",
"Sony",
IF(B545="Camera",
"Sony",
IF(B545="Printer",
"HP",
IF(B545="External Hard Disk",
"Western Digital",
"Other")))))))))</f>
        <v>Lenovo</v>
      </c>
      <c r="E545" t="str">
        <f t="shared" si="33"/>
        <v>Savex Technologies</v>
      </c>
      <c r="F545">
        <f t="shared" si="34"/>
        <v>45000</v>
      </c>
      <c r="G545">
        <f t="shared" si="35"/>
        <v>49500.000000000007</v>
      </c>
    </row>
    <row r="546" spans="1:7" x14ac:dyDescent="0.25">
      <c r="A546" t="s">
        <v>545</v>
      </c>
      <c r="B546" t="s">
        <v>1012</v>
      </c>
      <c r="C546" t="str">
        <f t="shared" si="32"/>
        <v>Audio Devices</v>
      </c>
      <c r="D546" t="str">
        <f>IF(B546="Smartphone",D547,
IF(B546="Smartwatch",
"Apple",
IF(B546="Laptop",
" Apple",
IF(B546="Desktop PC",
"Lenovo",
IF(B546="Tablet",
"Samsung",
IF(B546="Headphone",
"Sony",
IF(B546="Camera",
"Sony",
IF(B546="Printer",
"HP",
IF(B546="External Hard Disk",
"Western Digital",
"Other")))))))))</f>
        <v>Sony</v>
      </c>
      <c r="E546" t="str">
        <f t="shared" si="33"/>
        <v>Supertron Electronics</v>
      </c>
      <c r="F546">
        <f t="shared" si="34"/>
        <v>60000</v>
      </c>
      <c r="G546">
        <f t="shared" si="35"/>
        <v>66000</v>
      </c>
    </row>
    <row r="547" spans="1:7" x14ac:dyDescent="0.25">
      <c r="A547" t="s">
        <v>546</v>
      </c>
      <c r="B547" t="s">
        <v>1010</v>
      </c>
      <c r="C547" t="str">
        <f t="shared" si="32"/>
        <v>Office Equipments</v>
      </c>
      <c r="D547" t="str">
        <f>IF(B547="Smartphone",D548,
IF(B547="Smartwatch",
"Apple",
IF(B547="Laptop",
" Apple",
IF(B547="Desktop PC",
"Lenovo",
IF(B547="Tablet",
"Samsung",
IF(B547="Headphone",
"Sony",
IF(B547="Camera",
"Sony",
IF(B547="Printer",
"HP",
IF(B547="External Hard Disk",
"Western Digital",
"Other")))))))))</f>
        <v>Sony</v>
      </c>
      <c r="E547" t="str">
        <f t="shared" si="33"/>
        <v>Supertron Electronics</v>
      </c>
      <c r="F547">
        <f t="shared" si="34"/>
        <v>60000</v>
      </c>
      <c r="G547">
        <f t="shared" si="35"/>
        <v>66000</v>
      </c>
    </row>
    <row r="548" spans="1:7" x14ac:dyDescent="0.25">
      <c r="A548" t="s">
        <v>547</v>
      </c>
      <c r="B548" t="s">
        <v>1002</v>
      </c>
      <c r="C548" t="str">
        <f t="shared" si="32"/>
        <v>Electronics (Computing Devices)</v>
      </c>
      <c r="D548" t="str">
        <f>IF(B548="Smartphone",D549,
IF(B548="Smartwatch",
"Apple",
IF(B548="Laptop",
" Apple",
IF(B548="Desktop PC",
"Lenovo",
IF(B548="Tablet",
"Samsung",
IF(B548="Headphone",
"Sony",
IF(B548="Camera",
"Sony",
IF(B548="Printer",
"HP",
IF(B548="External Hard Disk",
"Western Digital",
"Other")))))))))</f>
        <v>Lenovo</v>
      </c>
      <c r="E548" t="str">
        <f t="shared" si="33"/>
        <v>Savex Technologies</v>
      </c>
      <c r="F548">
        <f t="shared" si="34"/>
        <v>45000</v>
      </c>
      <c r="G548">
        <f t="shared" si="35"/>
        <v>49500.000000000007</v>
      </c>
    </row>
    <row r="549" spans="1:7" x14ac:dyDescent="0.25">
      <c r="A549" t="s">
        <v>548</v>
      </c>
      <c r="B549" t="s">
        <v>1010</v>
      </c>
      <c r="C549" t="str">
        <f t="shared" si="32"/>
        <v>Office Equipments</v>
      </c>
      <c r="D549" t="str">
        <f>IF(B549="Smartphone",D550,
IF(B549="Smartwatch",
"Apple",
IF(B549="Laptop",
" Apple",
IF(B549="Desktop PC",
"Lenovo",
IF(B549="Tablet",
"Samsung",
IF(B549="Headphone",
"Sony",
IF(B549="Camera",
"Sony",
IF(B549="Printer",
"HP",
IF(B549="External Hard Disk",
"Western Digital",
"Other")))))))))</f>
        <v>Sony</v>
      </c>
      <c r="E549" t="str">
        <f t="shared" si="33"/>
        <v>Supertron Electronics</v>
      </c>
      <c r="F549">
        <f t="shared" si="34"/>
        <v>60000</v>
      </c>
      <c r="G549">
        <f t="shared" si="35"/>
        <v>66000</v>
      </c>
    </row>
    <row r="550" spans="1:7" x14ac:dyDescent="0.25">
      <c r="A550" t="s">
        <v>549</v>
      </c>
      <c r="B550" t="s">
        <v>1009</v>
      </c>
      <c r="C550" t="str">
        <f t="shared" si="32"/>
        <v>Office Equipments</v>
      </c>
      <c r="D550" t="str">
        <f>IF(B550="Smartphone",D551,
IF(B550="Smartwatch",
"Apple",
IF(B550="Laptop",
" Apple",
IF(B550="Desktop PC",
"Lenovo",
IF(B550="Tablet",
"Samsung",
IF(B550="Headphone",
"Sony",
IF(B550="Camera",
"Sony",
IF(B550="Printer",
"HP",
IF(B550="External Hard Disk",
"Western Digital",
"Other")))))))))</f>
        <v>HP</v>
      </c>
      <c r="E550" t="str">
        <f t="shared" si="33"/>
        <v>Savex Technologies</v>
      </c>
      <c r="F550">
        <f t="shared" si="34"/>
        <v>40000</v>
      </c>
      <c r="G550">
        <f t="shared" si="35"/>
        <v>44000</v>
      </c>
    </row>
    <row r="551" spans="1:7" x14ac:dyDescent="0.25">
      <c r="A551" t="s">
        <v>550</v>
      </c>
      <c r="B551" t="s">
        <v>1004</v>
      </c>
      <c r="C551" t="str">
        <f t="shared" si="32"/>
        <v>Electronics (Computing Devices)</v>
      </c>
      <c r="D551" t="str">
        <f>IF(B551="Smartphone",D552,
IF(B551="Smartwatch",
"Apple",
IF(B551="Laptop",
" Apple",
IF(B551="Desktop PC",
"Lenovo",
IF(B551="Tablet",
"Samsung",
IF(B551="Headphone",
"Sony",
IF(B551="Camera",
"Sony",
IF(B551="Printer",
"HP",
IF(B551="External Hard Disk",
"Western Digital",
"Other")))))))))</f>
        <v xml:space="preserve"> Apple</v>
      </c>
      <c r="E551" t="str">
        <f t="shared" si="33"/>
        <v>Ingram Micron India</v>
      </c>
      <c r="F551">
        <f t="shared" si="34"/>
        <v>35000</v>
      </c>
      <c r="G551">
        <f t="shared" si="35"/>
        <v>38500</v>
      </c>
    </row>
    <row r="552" spans="1:7" x14ac:dyDescent="0.25">
      <c r="A552" t="s">
        <v>551</v>
      </c>
      <c r="B552" t="s">
        <v>1005</v>
      </c>
      <c r="C552" t="str">
        <f t="shared" si="32"/>
        <v>Electronics (Computing Devices)</v>
      </c>
      <c r="D552" t="str">
        <f>IF(B552="Smartphone",D553,
IF(B552="Smartwatch",
"Apple",
IF(B552="Laptop",
" Apple",
IF(B552="Desktop PC",
"Lenovo",
IF(B552="Tablet",
"Samsung",
IF(B552="Headphone",
"Sony",
IF(B552="Camera",
"Sony",
IF(B552="Printer",
"HP",
IF(B552="External Hard Disk",
"Western Digital",
"Other")))))))))</f>
        <v>Samsung</v>
      </c>
      <c r="E552" t="str">
        <f t="shared" si="33"/>
        <v>Rashi Peripherals</v>
      </c>
      <c r="F552">
        <f t="shared" si="34"/>
        <v>30000</v>
      </c>
      <c r="G552">
        <f t="shared" si="35"/>
        <v>33000</v>
      </c>
    </row>
    <row r="553" spans="1:7" x14ac:dyDescent="0.25">
      <c r="A553" t="s">
        <v>552</v>
      </c>
      <c r="B553" t="s">
        <v>1004</v>
      </c>
      <c r="C553" t="str">
        <f t="shared" si="32"/>
        <v>Electronics (Computing Devices)</v>
      </c>
      <c r="D553" t="str">
        <f>IF(B553="Smartphone",D554,
IF(B553="Smartwatch",
"Apple",
IF(B553="Laptop",
" Apple",
IF(B553="Desktop PC",
"Lenovo",
IF(B553="Tablet",
"Samsung",
IF(B553="Headphone",
"Sony",
IF(B553="Camera",
"Sony",
IF(B553="Printer",
"HP",
IF(B553="External Hard Disk",
"Western Digital",
"Other")))))))))</f>
        <v xml:space="preserve"> Apple</v>
      </c>
      <c r="E553" t="str">
        <f t="shared" si="33"/>
        <v>Ingram Micron India</v>
      </c>
      <c r="F553">
        <f t="shared" si="34"/>
        <v>35000</v>
      </c>
      <c r="G553">
        <f t="shared" si="35"/>
        <v>38500</v>
      </c>
    </row>
    <row r="554" spans="1:7" x14ac:dyDescent="0.25">
      <c r="A554" t="s">
        <v>553</v>
      </c>
      <c r="B554" t="s">
        <v>1010</v>
      </c>
      <c r="C554" t="str">
        <f t="shared" si="32"/>
        <v>Office Equipments</v>
      </c>
      <c r="D554" t="str">
        <f>IF(B554="Smartphone",D555,
IF(B554="Smartwatch",
"Apple",
IF(B554="Laptop",
" Apple",
IF(B554="Desktop PC",
"Lenovo",
IF(B554="Tablet",
"Samsung",
IF(B554="Headphone",
"Sony",
IF(B554="Camera",
"Sony",
IF(B554="Printer",
"HP",
IF(B554="External Hard Disk",
"Western Digital",
"Other")))))))))</f>
        <v>Sony</v>
      </c>
      <c r="E554" t="str">
        <f t="shared" si="33"/>
        <v>Supertron Electronics</v>
      </c>
      <c r="F554">
        <f t="shared" si="34"/>
        <v>60000</v>
      </c>
      <c r="G554">
        <f t="shared" si="35"/>
        <v>66000</v>
      </c>
    </row>
    <row r="555" spans="1:7" x14ac:dyDescent="0.25">
      <c r="A555" t="s">
        <v>554</v>
      </c>
      <c r="B555" t="s">
        <v>1009</v>
      </c>
      <c r="C555" t="str">
        <f t="shared" si="32"/>
        <v>Office Equipments</v>
      </c>
      <c r="D555" t="str">
        <f>IF(B555="Smartphone",D556,
IF(B555="Smartwatch",
"Apple",
IF(B555="Laptop",
" Apple",
IF(B555="Desktop PC",
"Lenovo",
IF(B555="Tablet",
"Samsung",
IF(B555="Headphone",
"Sony",
IF(B555="Camera",
"Sony",
IF(B555="Printer",
"HP",
IF(B555="External Hard Disk",
"Western Digital",
"Other")))))))))</f>
        <v>HP</v>
      </c>
      <c r="E555" t="str">
        <f t="shared" si="33"/>
        <v>Savex Technologies</v>
      </c>
      <c r="F555">
        <f t="shared" si="34"/>
        <v>40000</v>
      </c>
      <c r="G555">
        <f t="shared" si="35"/>
        <v>44000</v>
      </c>
    </row>
    <row r="556" spans="1:7" x14ac:dyDescent="0.25">
      <c r="A556" t="s">
        <v>555</v>
      </c>
      <c r="B556" t="s">
        <v>1002</v>
      </c>
      <c r="C556" t="str">
        <f t="shared" si="32"/>
        <v>Electronics (Computing Devices)</v>
      </c>
      <c r="D556" t="str">
        <f>IF(B556="Smartphone",D557,
IF(B556="Smartwatch",
"Apple",
IF(B556="Laptop",
" Apple",
IF(B556="Desktop PC",
"Lenovo",
IF(B556="Tablet",
"Samsung",
IF(B556="Headphone",
"Sony",
IF(B556="Camera",
"Sony",
IF(B556="Printer",
"HP",
IF(B556="External Hard Disk",
"Western Digital",
"Other")))))))))</f>
        <v>Lenovo</v>
      </c>
      <c r="E556" t="str">
        <f t="shared" si="33"/>
        <v>Savex Technologies</v>
      </c>
      <c r="F556">
        <f t="shared" si="34"/>
        <v>45000</v>
      </c>
      <c r="G556">
        <f t="shared" si="35"/>
        <v>49500.000000000007</v>
      </c>
    </row>
    <row r="557" spans="1:7" x14ac:dyDescent="0.25">
      <c r="A557" t="s">
        <v>556</v>
      </c>
      <c r="B557" t="s">
        <v>1003</v>
      </c>
      <c r="C557" t="str">
        <f t="shared" si="32"/>
        <v>Electronics (Computing Devices)</v>
      </c>
      <c r="D557" t="str">
        <f>IF(B557="Smartphone",D558,
IF(B557="Smartwatch",
"Apple",
IF(B557="Laptop",
" Apple",
IF(B557="Desktop PC",
"Lenovo",
IF(B557="Tablet",
"Samsung",
IF(B557="Headphone",
"Sony",
IF(B557="Camera",
"Sony",
IF(B557="Printer",
"HP",
IF(B557="External Hard Disk",
"Western Digital",
"Other")))))))))</f>
        <v>Other</v>
      </c>
      <c r="E557" t="str">
        <f t="shared" si="33"/>
        <v>Ingram Micron India</v>
      </c>
      <c r="F557">
        <f t="shared" si="34"/>
        <v>35000</v>
      </c>
      <c r="G557">
        <f t="shared" si="35"/>
        <v>38500</v>
      </c>
    </row>
    <row r="558" spans="1:7" x14ac:dyDescent="0.25">
      <c r="A558" t="s">
        <v>557</v>
      </c>
      <c r="B558" t="s">
        <v>1010</v>
      </c>
      <c r="C558" t="str">
        <f t="shared" si="32"/>
        <v>Office Equipments</v>
      </c>
      <c r="D558" t="str">
        <f>IF(B558="Smartphone",D559,
IF(B558="Smartwatch",
"Apple",
IF(B558="Laptop",
" Apple",
IF(B558="Desktop PC",
"Lenovo",
IF(B558="Tablet",
"Samsung",
IF(B558="Headphone",
"Sony",
IF(B558="Camera",
"Sony",
IF(B558="Printer",
"HP",
IF(B558="External Hard Disk",
"Western Digital",
"Other")))))))))</f>
        <v>Sony</v>
      </c>
      <c r="E558" t="str">
        <f t="shared" si="33"/>
        <v>Supertron Electronics</v>
      </c>
      <c r="F558">
        <f t="shared" si="34"/>
        <v>60000</v>
      </c>
      <c r="G558">
        <f t="shared" si="35"/>
        <v>66000</v>
      </c>
    </row>
    <row r="559" spans="1:7" x14ac:dyDescent="0.25">
      <c r="A559" t="s">
        <v>558</v>
      </c>
      <c r="B559" t="s">
        <v>1010</v>
      </c>
      <c r="C559" t="str">
        <f t="shared" si="32"/>
        <v>Office Equipments</v>
      </c>
      <c r="D559" t="str">
        <f>IF(B559="Smartphone",D560,
IF(B559="Smartwatch",
"Apple",
IF(B559="Laptop",
" Apple",
IF(B559="Desktop PC",
"Lenovo",
IF(B559="Tablet",
"Samsung",
IF(B559="Headphone",
"Sony",
IF(B559="Camera",
"Sony",
IF(B559="Printer",
"HP",
IF(B559="External Hard Disk",
"Western Digital",
"Other")))))))))</f>
        <v>Sony</v>
      </c>
      <c r="E559" t="str">
        <f t="shared" si="33"/>
        <v>Supertron Electronics</v>
      </c>
      <c r="F559">
        <f t="shared" si="34"/>
        <v>60000</v>
      </c>
      <c r="G559">
        <f t="shared" si="35"/>
        <v>66000</v>
      </c>
    </row>
    <row r="560" spans="1:7" x14ac:dyDescent="0.25">
      <c r="A560" t="s">
        <v>559</v>
      </c>
      <c r="B560" t="s">
        <v>1002</v>
      </c>
      <c r="C560" t="str">
        <f t="shared" si="32"/>
        <v>Electronics (Computing Devices)</v>
      </c>
      <c r="D560" t="str">
        <f>IF(B560="Smartphone",D561,
IF(B560="Smartwatch",
"Apple",
IF(B560="Laptop",
" Apple",
IF(B560="Desktop PC",
"Lenovo",
IF(B560="Tablet",
"Samsung",
IF(B560="Headphone",
"Sony",
IF(B560="Camera",
"Sony",
IF(B560="Printer",
"HP",
IF(B560="External Hard Disk",
"Western Digital",
"Other")))))))))</f>
        <v>Lenovo</v>
      </c>
      <c r="E560" t="str">
        <f t="shared" si="33"/>
        <v>Savex Technologies</v>
      </c>
      <c r="F560">
        <f t="shared" si="34"/>
        <v>45000</v>
      </c>
      <c r="G560">
        <f t="shared" si="35"/>
        <v>49500.000000000007</v>
      </c>
    </row>
    <row r="561" spans="1:7" x14ac:dyDescent="0.25">
      <c r="A561" t="s">
        <v>560</v>
      </c>
      <c r="B561" t="s">
        <v>1007</v>
      </c>
      <c r="C561" t="str">
        <f t="shared" si="32"/>
        <v>Mobile and Wearables</v>
      </c>
      <c r="D561" t="str">
        <f>IF(B561="Smartphone",D562,
IF(B561="Smartwatch",
"Apple",
IF(B561="Laptop",
" Apple",
IF(B561="Desktop PC",
"Lenovo",
IF(B561="Tablet",
"Samsung",
IF(B561="Headphone",
"Sony",
IF(B561="Camera",
"Sony",
IF(B561="Printer",
"HP",
IF(B561="External Hard Disk",
"Western Digital",
"Other")))))))))</f>
        <v>Apple</v>
      </c>
      <c r="E561" t="str">
        <f t="shared" si="33"/>
        <v>Redington India</v>
      </c>
      <c r="F561">
        <f t="shared" si="34"/>
        <v>40000</v>
      </c>
      <c r="G561">
        <f t="shared" si="35"/>
        <v>44000</v>
      </c>
    </row>
    <row r="562" spans="1:7" x14ac:dyDescent="0.25">
      <c r="A562" t="s">
        <v>561</v>
      </c>
      <c r="B562" t="s">
        <v>1001</v>
      </c>
      <c r="C562" t="str">
        <f t="shared" si="32"/>
        <v>Mobile and Wearables</v>
      </c>
      <c r="D562" t="str">
        <f>IF(B562="Smartphone",D563,
IF(B562="Smartwatch",
"Apple",
IF(B562="Laptop",
" Apple",
IF(B562="Desktop PC",
"Lenovo",
IF(B562="Tablet",
"Samsung",
IF(B562="Headphone",
"Sony",
IF(B562="Camera",
"Sony",
IF(B562="Printer",
"HP",
IF(B562="External Hard Disk",
"Western Digital",
"Other")))))))))</f>
        <v>Apple</v>
      </c>
      <c r="E562" t="str">
        <f t="shared" si="33"/>
        <v>Redington India</v>
      </c>
      <c r="F562">
        <f t="shared" si="34"/>
        <v>40000</v>
      </c>
      <c r="G562">
        <f t="shared" si="35"/>
        <v>44000</v>
      </c>
    </row>
    <row r="563" spans="1:7" x14ac:dyDescent="0.25">
      <c r="A563" t="s">
        <v>562</v>
      </c>
      <c r="B563" t="s">
        <v>1002</v>
      </c>
      <c r="C563" t="str">
        <f t="shared" si="32"/>
        <v>Electronics (Computing Devices)</v>
      </c>
      <c r="D563" t="str">
        <f>IF(B563="Smartphone",D564,
IF(B563="Smartwatch",
"Apple",
IF(B563="Laptop",
" Apple",
IF(B563="Desktop PC",
"Lenovo",
IF(B563="Tablet",
"Samsung",
IF(B563="Headphone",
"Sony",
IF(B563="Camera",
"Sony",
IF(B563="Printer",
"HP",
IF(B563="External Hard Disk",
"Western Digital",
"Other")))))))))</f>
        <v>Lenovo</v>
      </c>
      <c r="E563" t="str">
        <f t="shared" si="33"/>
        <v>Savex Technologies</v>
      </c>
      <c r="F563">
        <f t="shared" si="34"/>
        <v>45000</v>
      </c>
      <c r="G563">
        <f t="shared" si="35"/>
        <v>49500.000000000007</v>
      </c>
    </row>
    <row r="564" spans="1:7" x14ac:dyDescent="0.25">
      <c r="A564" t="s">
        <v>563</v>
      </c>
      <c r="B564" t="s">
        <v>1009</v>
      </c>
      <c r="C564" t="str">
        <f t="shared" si="32"/>
        <v>Office Equipments</v>
      </c>
      <c r="D564" t="str">
        <f>IF(B564="Smartphone",D565,
IF(B564="Smartwatch",
"Apple",
IF(B564="Laptop",
" Apple",
IF(B564="Desktop PC",
"Lenovo",
IF(B564="Tablet",
"Samsung",
IF(B564="Headphone",
"Sony",
IF(B564="Camera",
"Sony",
IF(B564="Printer",
"HP",
IF(B564="External Hard Disk",
"Western Digital",
"Other")))))))))</f>
        <v>HP</v>
      </c>
      <c r="E564" t="str">
        <f t="shared" si="33"/>
        <v>Savex Technologies</v>
      </c>
      <c r="F564">
        <f t="shared" si="34"/>
        <v>40000</v>
      </c>
      <c r="G564">
        <f t="shared" si="35"/>
        <v>44000</v>
      </c>
    </row>
    <row r="565" spans="1:7" x14ac:dyDescent="0.25">
      <c r="A565" t="s">
        <v>564</v>
      </c>
      <c r="B565" t="s">
        <v>1009</v>
      </c>
      <c r="C565" t="str">
        <f t="shared" si="32"/>
        <v>Office Equipments</v>
      </c>
      <c r="D565" t="str">
        <f>IF(B565="Smartphone",D566,
IF(B565="Smartwatch",
"Apple",
IF(B565="Laptop",
" Apple",
IF(B565="Desktop PC",
"Lenovo",
IF(B565="Tablet",
"Samsung",
IF(B565="Headphone",
"Sony",
IF(B565="Camera",
"Sony",
IF(B565="Printer",
"HP",
IF(B565="External Hard Disk",
"Western Digital",
"Other")))))))))</f>
        <v>HP</v>
      </c>
      <c r="E565" t="str">
        <f t="shared" si="33"/>
        <v>Savex Technologies</v>
      </c>
      <c r="F565">
        <f t="shared" si="34"/>
        <v>40000</v>
      </c>
      <c r="G565">
        <f t="shared" si="35"/>
        <v>44000</v>
      </c>
    </row>
    <row r="566" spans="1:7" x14ac:dyDescent="0.25">
      <c r="A566" t="s">
        <v>565</v>
      </c>
      <c r="B566" t="s">
        <v>1004</v>
      </c>
      <c r="C566" t="str">
        <f t="shared" si="32"/>
        <v>Electronics (Computing Devices)</v>
      </c>
      <c r="D566" t="str">
        <f>IF(B566="Smartphone",D567,
IF(B566="Smartwatch",
"Apple",
IF(B566="Laptop",
" Apple",
IF(B566="Desktop PC",
"Lenovo",
IF(B566="Tablet",
"Samsung",
IF(B566="Headphone",
"Sony",
IF(B566="Camera",
"Sony",
IF(B566="Printer",
"HP",
IF(B566="External Hard Disk",
"Western Digital",
"Other")))))))))</f>
        <v xml:space="preserve"> Apple</v>
      </c>
      <c r="E566" t="str">
        <f t="shared" si="33"/>
        <v>Ingram Micron India</v>
      </c>
      <c r="F566">
        <f t="shared" si="34"/>
        <v>35000</v>
      </c>
      <c r="G566">
        <f t="shared" si="35"/>
        <v>38500</v>
      </c>
    </row>
    <row r="567" spans="1:7" x14ac:dyDescent="0.25">
      <c r="A567" t="s">
        <v>566</v>
      </c>
      <c r="B567" t="s">
        <v>1002</v>
      </c>
      <c r="C567" t="str">
        <f t="shared" si="32"/>
        <v>Electronics (Computing Devices)</v>
      </c>
      <c r="D567" t="str">
        <f>IF(B567="Smartphone",D568,
IF(B567="Smartwatch",
"Apple",
IF(B567="Laptop",
" Apple",
IF(B567="Desktop PC",
"Lenovo",
IF(B567="Tablet",
"Samsung",
IF(B567="Headphone",
"Sony",
IF(B567="Camera",
"Sony",
IF(B567="Printer",
"HP",
IF(B567="External Hard Disk",
"Western Digital",
"Other")))))))))</f>
        <v>Lenovo</v>
      </c>
      <c r="E567" t="str">
        <f t="shared" si="33"/>
        <v>Savex Technologies</v>
      </c>
      <c r="F567">
        <f t="shared" si="34"/>
        <v>45000</v>
      </c>
      <c r="G567">
        <f t="shared" si="35"/>
        <v>49500.000000000007</v>
      </c>
    </row>
    <row r="568" spans="1:7" x14ac:dyDescent="0.25">
      <c r="A568" t="s">
        <v>567</v>
      </c>
      <c r="B568" t="s">
        <v>1001</v>
      </c>
      <c r="C568" t="str">
        <f t="shared" si="32"/>
        <v>Mobile and Wearables</v>
      </c>
      <c r="D568" t="str">
        <f>IF(B568="Smartphone",D569,
IF(B568="Smartwatch",
"Apple",
IF(B568="Laptop",
" Apple",
IF(B568="Desktop PC",
"Lenovo",
IF(B568="Tablet",
"Samsung",
IF(B568="Headphone",
"Sony",
IF(B568="Camera",
"Sony",
IF(B568="Printer",
"HP",
IF(B568="External Hard Disk",
"Western Digital",
"Other")))))))))</f>
        <v>Apple</v>
      </c>
      <c r="E568" t="str">
        <f t="shared" si="33"/>
        <v>Redington India</v>
      </c>
      <c r="F568">
        <f t="shared" si="34"/>
        <v>40000</v>
      </c>
      <c r="G568">
        <f t="shared" si="35"/>
        <v>44000</v>
      </c>
    </row>
    <row r="569" spans="1:7" x14ac:dyDescent="0.25">
      <c r="A569" t="s">
        <v>568</v>
      </c>
      <c r="B569" t="s">
        <v>1013</v>
      </c>
      <c r="C569" t="str">
        <f t="shared" si="32"/>
        <v>Storage Devices</v>
      </c>
      <c r="D569" t="str">
        <f>IF(B569="Smartphone",D570,
IF(B569="Smartwatch",
"Apple",
IF(B569="Laptop",
" Apple",
IF(B569="Desktop PC",
"Lenovo",
IF(B569="Tablet",
"Samsung",
IF(B569="Headphone",
"Sony",
IF(B569="Camera",
"Sony",
IF(B569="Printer",
"HP",
IF(B569="External Hard Disk",
"Western Digital",
"Other")))))))))</f>
        <v>Western Digital</v>
      </c>
      <c r="E569" t="str">
        <f t="shared" si="33"/>
        <v>Ingram Micron India</v>
      </c>
      <c r="F569">
        <f t="shared" si="34"/>
        <v>35000</v>
      </c>
      <c r="G569">
        <f t="shared" si="35"/>
        <v>38500</v>
      </c>
    </row>
    <row r="570" spans="1:7" x14ac:dyDescent="0.25">
      <c r="A570" t="s">
        <v>569</v>
      </c>
      <c r="B570" t="s">
        <v>1010</v>
      </c>
      <c r="C570" t="str">
        <f t="shared" si="32"/>
        <v>Office Equipments</v>
      </c>
      <c r="D570" t="str">
        <f>IF(B570="Smartphone",D571,
IF(B570="Smartwatch",
"Apple",
IF(B570="Laptop",
" Apple",
IF(B570="Desktop PC",
"Lenovo",
IF(B570="Tablet",
"Samsung",
IF(B570="Headphone",
"Sony",
IF(B570="Camera",
"Sony",
IF(B570="Printer",
"HP",
IF(B570="External Hard Disk",
"Western Digital",
"Other")))))))))</f>
        <v>Sony</v>
      </c>
      <c r="E570" t="str">
        <f t="shared" si="33"/>
        <v>Supertron Electronics</v>
      </c>
      <c r="F570">
        <f t="shared" si="34"/>
        <v>60000</v>
      </c>
      <c r="G570">
        <f t="shared" si="35"/>
        <v>66000</v>
      </c>
    </row>
    <row r="571" spans="1:7" x14ac:dyDescent="0.25">
      <c r="A571" t="s">
        <v>570</v>
      </c>
      <c r="B571" t="s">
        <v>1005</v>
      </c>
      <c r="C571" t="str">
        <f t="shared" si="32"/>
        <v>Electronics (Computing Devices)</v>
      </c>
      <c r="D571" t="str">
        <f>IF(B571="Smartphone",D572,
IF(B571="Smartwatch",
"Apple",
IF(B571="Laptop",
" Apple",
IF(B571="Desktop PC",
"Lenovo",
IF(B571="Tablet",
"Samsung",
IF(B571="Headphone",
"Sony",
IF(B571="Camera",
"Sony",
IF(B571="Printer",
"HP",
IF(B571="External Hard Disk",
"Western Digital",
"Other")))))))))</f>
        <v>Samsung</v>
      </c>
      <c r="E571" t="str">
        <f t="shared" si="33"/>
        <v>Rashi Peripherals</v>
      </c>
      <c r="F571">
        <f t="shared" si="34"/>
        <v>30000</v>
      </c>
      <c r="G571">
        <f t="shared" si="35"/>
        <v>33000</v>
      </c>
    </row>
    <row r="572" spans="1:7" x14ac:dyDescent="0.25">
      <c r="A572" t="s">
        <v>571</v>
      </c>
      <c r="B572" t="s">
        <v>1005</v>
      </c>
      <c r="C572" t="str">
        <f t="shared" si="32"/>
        <v>Electronics (Computing Devices)</v>
      </c>
      <c r="D572" t="str">
        <f>IF(B572="Smartphone",D573,
IF(B572="Smartwatch",
"Apple",
IF(B572="Laptop",
" Apple",
IF(B572="Desktop PC",
"Lenovo",
IF(B572="Tablet",
"Samsung",
IF(B572="Headphone",
"Sony",
IF(B572="Camera",
"Sony",
IF(B572="Printer",
"HP",
IF(B572="External Hard Disk",
"Western Digital",
"Other")))))))))</f>
        <v>Samsung</v>
      </c>
      <c r="E572" t="str">
        <f t="shared" si="33"/>
        <v>Rashi Peripherals</v>
      </c>
      <c r="F572">
        <f t="shared" si="34"/>
        <v>30000</v>
      </c>
      <c r="G572">
        <f t="shared" si="35"/>
        <v>33000</v>
      </c>
    </row>
    <row r="573" spans="1:7" x14ac:dyDescent="0.25">
      <c r="A573" t="s">
        <v>572</v>
      </c>
      <c r="B573" t="s">
        <v>1010</v>
      </c>
      <c r="C573" t="str">
        <f t="shared" si="32"/>
        <v>Office Equipments</v>
      </c>
      <c r="D573" t="str">
        <f>IF(B573="Smartphone",D574,
IF(B573="Smartwatch",
"Apple",
IF(B573="Laptop",
" Apple",
IF(B573="Desktop PC",
"Lenovo",
IF(B573="Tablet",
"Samsung",
IF(B573="Headphone",
"Sony",
IF(B573="Camera",
"Sony",
IF(B573="Printer",
"HP",
IF(B573="External Hard Disk",
"Western Digital",
"Other")))))))))</f>
        <v>Sony</v>
      </c>
      <c r="E573" t="str">
        <f t="shared" si="33"/>
        <v>Supertron Electronics</v>
      </c>
      <c r="F573">
        <f t="shared" si="34"/>
        <v>60000</v>
      </c>
      <c r="G573">
        <f t="shared" si="35"/>
        <v>66000</v>
      </c>
    </row>
    <row r="574" spans="1:7" x14ac:dyDescent="0.25">
      <c r="A574" t="s">
        <v>573</v>
      </c>
      <c r="B574" t="s">
        <v>1004</v>
      </c>
      <c r="C574" t="str">
        <f t="shared" si="32"/>
        <v>Electronics (Computing Devices)</v>
      </c>
      <c r="D574" t="str">
        <f>IF(B574="Smartphone",D575,
IF(B574="Smartwatch",
"Apple",
IF(B574="Laptop",
" Apple",
IF(B574="Desktop PC",
"Lenovo",
IF(B574="Tablet",
"Samsung",
IF(B574="Headphone",
"Sony",
IF(B574="Camera",
"Sony",
IF(B574="Printer",
"HP",
IF(B574="External Hard Disk",
"Western Digital",
"Other")))))))))</f>
        <v xml:space="preserve"> Apple</v>
      </c>
      <c r="E574" t="str">
        <f t="shared" si="33"/>
        <v>Ingram Micron India</v>
      </c>
      <c r="F574">
        <f t="shared" si="34"/>
        <v>35000</v>
      </c>
      <c r="G574">
        <f t="shared" si="35"/>
        <v>38500</v>
      </c>
    </row>
    <row r="575" spans="1:7" x14ac:dyDescent="0.25">
      <c r="A575" t="s">
        <v>574</v>
      </c>
      <c r="B575" t="s">
        <v>1002</v>
      </c>
      <c r="C575" t="str">
        <f t="shared" si="32"/>
        <v>Electronics (Computing Devices)</v>
      </c>
      <c r="D575" t="str">
        <f>IF(B575="Smartphone",D576,
IF(B575="Smartwatch",
"Apple",
IF(B575="Laptop",
" Apple",
IF(B575="Desktop PC",
"Lenovo",
IF(B575="Tablet",
"Samsung",
IF(B575="Headphone",
"Sony",
IF(B575="Camera",
"Sony",
IF(B575="Printer",
"HP",
IF(B575="External Hard Disk",
"Western Digital",
"Other")))))))))</f>
        <v>Lenovo</v>
      </c>
      <c r="E575" t="str">
        <f t="shared" si="33"/>
        <v>Savex Technologies</v>
      </c>
      <c r="F575">
        <f t="shared" si="34"/>
        <v>45000</v>
      </c>
      <c r="G575">
        <f t="shared" si="35"/>
        <v>49500.000000000007</v>
      </c>
    </row>
    <row r="576" spans="1:7" x14ac:dyDescent="0.25">
      <c r="A576" t="s">
        <v>575</v>
      </c>
      <c r="B576" t="s">
        <v>1013</v>
      </c>
      <c r="C576" t="str">
        <f t="shared" si="32"/>
        <v>Storage Devices</v>
      </c>
      <c r="D576" t="str">
        <f>IF(B576="Smartphone",D577,
IF(B576="Smartwatch",
"Apple",
IF(B576="Laptop",
" Apple",
IF(B576="Desktop PC",
"Lenovo",
IF(B576="Tablet",
"Samsung",
IF(B576="Headphone",
"Sony",
IF(B576="Camera",
"Sony",
IF(B576="Printer",
"HP",
IF(B576="External Hard Disk",
"Western Digital",
"Other")))))))))</f>
        <v>Western Digital</v>
      </c>
      <c r="E576" t="str">
        <f t="shared" si="33"/>
        <v>Ingram Micron India</v>
      </c>
      <c r="F576">
        <f t="shared" si="34"/>
        <v>35000</v>
      </c>
      <c r="G576">
        <f t="shared" si="35"/>
        <v>38500</v>
      </c>
    </row>
    <row r="577" spans="1:7" x14ac:dyDescent="0.25">
      <c r="A577" t="s">
        <v>576</v>
      </c>
      <c r="B577" t="s">
        <v>1010</v>
      </c>
      <c r="C577" t="str">
        <f t="shared" si="32"/>
        <v>Office Equipments</v>
      </c>
      <c r="D577" t="str">
        <f>IF(B577="Smartphone",D578,
IF(B577="Smartwatch",
"Apple",
IF(B577="Laptop",
" Apple",
IF(B577="Desktop PC",
"Lenovo",
IF(B577="Tablet",
"Samsung",
IF(B577="Headphone",
"Sony",
IF(B577="Camera",
"Sony",
IF(B577="Printer",
"HP",
IF(B577="External Hard Disk",
"Western Digital",
"Other")))))))))</f>
        <v>Sony</v>
      </c>
      <c r="E577" t="str">
        <f t="shared" si="33"/>
        <v>Supertron Electronics</v>
      </c>
      <c r="F577">
        <f t="shared" si="34"/>
        <v>60000</v>
      </c>
      <c r="G577">
        <f t="shared" si="35"/>
        <v>66000</v>
      </c>
    </row>
    <row r="578" spans="1:7" x14ac:dyDescent="0.25">
      <c r="A578" t="s">
        <v>577</v>
      </c>
      <c r="B578" t="s">
        <v>1003</v>
      </c>
      <c r="C578" t="str">
        <f t="shared" si="32"/>
        <v>Electronics (Computing Devices)</v>
      </c>
      <c r="D578" t="str">
        <f>IF(B578="Smartphone",D579,
IF(B578="Smartwatch",
"Apple",
IF(B578="Laptop",
" Apple",
IF(B578="Desktop PC",
"Lenovo",
IF(B578="Tablet",
"Samsung",
IF(B578="Headphone",
"Sony",
IF(B578="Camera",
"Sony",
IF(B578="Printer",
"HP",
IF(B578="External Hard Disk",
"Western Digital",
"Other")))))))))</f>
        <v>Other</v>
      </c>
      <c r="E578" t="str">
        <f t="shared" si="33"/>
        <v>Ingram Micron India</v>
      </c>
      <c r="F578">
        <f t="shared" si="34"/>
        <v>35000</v>
      </c>
      <c r="G578">
        <f t="shared" si="35"/>
        <v>38500</v>
      </c>
    </row>
    <row r="579" spans="1:7" x14ac:dyDescent="0.25">
      <c r="A579" t="s">
        <v>578</v>
      </c>
      <c r="B579" t="s">
        <v>1009</v>
      </c>
      <c r="C579" t="str">
        <f t="shared" ref="C579:C642" si="36">IF(OR(B579="Laptop",B579="Desktop PC",B579="Tablet",B579="E-Reader"),
"Electronics (Computing Devices)",
IF(OR(B579="Smartphone",B579="Smartwatch"),
"Mobile and Wearables",
IF(B579="Headphone",
"Audio Devices",
IF(OR(B579="Printer",B579="Camera"),
"Office Equipments",
IF(B579="External Hard Disk",
"Storage Devices",
"Other")))))</f>
        <v>Office Equipments</v>
      </c>
      <c r="D579" t="str">
        <f>IF(B579="Smartphone",D580,
IF(B579="Smartwatch",
"Apple",
IF(B579="Laptop",
" Apple",
IF(B579="Desktop PC",
"Lenovo",
IF(B579="Tablet",
"Samsung",
IF(B579="Headphone",
"Sony",
IF(B579="Camera",
"Sony",
IF(B579="Printer",
"HP",
IF(B579="External Hard Disk",
"Western Digital",
"Other")))))))))</f>
        <v>HP</v>
      </c>
      <c r="E579" t="str">
        <f t="shared" ref="E579:E642" si="37">IF(D579="Apple",
"Redington India",
IF(D579="Samsung",
"Rashi Peripherals",
IF(D579="Sony",
"Supertron Electronics",
IF(OR(D579="Lenovo",D579="HP",D579="Dell"),
"Savex Technologies",
IF(C579="Printer",
"Rashi Peripherals",
IF(C579="Camera",
"Redington India",
IF(C579="External Hard Disk",
"Supertron Electronics",
"Ingram Micron India")))))))</f>
        <v>Savex Technologies</v>
      </c>
      <c r="F579">
        <f t="shared" ref="F579:F642" si="38">IF(D579="Apple",
IF(C579="Smartphone",95000,
IF(C579="Tablet",75000,
IF(C579="Laptop",150000,
IF(C579="Smartwatch",90000,40000)))),
IF(D579="Samsung",
IF(C579="Smartphone",55000,
IF(C579="Tablet",40000,
IF(C579="Smartwatch",25000,30000))),
IF(D579="Lenovo",
IF(C579="Laptop",85000,
IF(C579="Desktop PC",70000,45000)),
IF(D579="HP",
IF(C579="Printer",30000,
IF(C579="Laptop",80000,40000)),
IF(D579="Sony",
IF(C579="Headphone",15000,
IF(C579="Camera",120000,60000)),
IF(C579="External Hard Disk",
IF(D579="Seagate",7000,
IF(D579="Western Digital",8000,7500)),
35000))))))</f>
        <v>40000</v>
      </c>
      <c r="G579">
        <f t="shared" ref="G579:G642" si="39">IF(C579="Smartphone",F579*1.1,
IF(C579="Laptop",F579*1.08,
IF(C579="Tablet",F579*1.12,
IF(C579="Smartwatch",F579*1.15,
IF(C579="Desktop PC",F579*1.07,
IF(C579="Printer",F579*1.18,
IF(C579="Camera",F579*1.12,
IF(C579="Headphone",F579*1.25,
IF(C579="External Hard Disk",F579*1.2,
F579*1.1)))))))))</f>
        <v>44000</v>
      </c>
    </row>
    <row r="580" spans="1:7" x14ac:dyDescent="0.25">
      <c r="A580" t="s">
        <v>579</v>
      </c>
      <c r="B580" t="s">
        <v>1007</v>
      </c>
      <c r="C580" t="str">
        <f t="shared" si="36"/>
        <v>Mobile and Wearables</v>
      </c>
      <c r="D580" t="str">
        <f>IF(B2="Smartphone",
"Apple",
IF(B2="Smartwatch",
"Apple",
IF(B2="Laptop",
"Lenovo",
IF(B2="Desktop PC",
"Apple",
IF(B2="Tablet",
"Apple",
IF(B2="Headphone",
"Sony",
IF(B2="Camera",
"Sony",
IF(B2="Printer",
"HP",
IF(B2="External Hard Disk",
"Seagate",
"Other")))))))))</f>
        <v>Apple</v>
      </c>
      <c r="E580" t="str">
        <f t="shared" si="37"/>
        <v>Redington India</v>
      </c>
      <c r="F580">
        <f t="shared" si="38"/>
        <v>40000</v>
      </c>
      <c r="G580">
        <f t="shared" si="39"/>
        <v>44000</v>
      </c>
    </row>
    <row r="581" spans="1:7" x14ac:dyDescent="0.25">
      <c r="A581" t="s">
        <v>580</v>
      </c>
      <c r="B581" t="s">
        <v>1002</v>
      </c>
      <c r="C581" t="str">
        <f t="shared" si="36"/>
        <v>Electronics (Computing Devices)</v>
      </c>
      <c r="D581" t="str">
        <f>IF(B3="Smartphone",
"Apple",
IF(B3="Smartwatch",
"Apple",
IF(B3="Laptop",
"Lenovo",
IF(B3="Desktop PC",
"Apple",
IF(B3="Tablet",
"Apple",
IF(B3="Headphone",
"Sony",
IF(B3="Camera",
"Sony",
IF(B3="Printer",
"HP",
IF(B3="External Hard Disk",
"Seagate",
"Other")))))))))</f>
        <v>Apple</v>
      </c>
      <c r="E581" t="str">
        <f t="shared" si="37"/>
        <v>Redington India</v>
      </c>
      <c r="F581">
        <f t="shared" si="38"/>
        <v>40000</v>
      </c>
      <c r="G581">
        <f t="shared" si="39"/>
        <v>44000</v>
      </c>
    </row>
    <row r="582" spans="1:7" x14ac:dyDescent="0.25">
      <c r="A582" t="s">
        <v>581</v>
      </c>
      <c r="B582" t="s">
        <v>1009</v>
      </c>
      <c r="C582" t="str">
        <f t="shared" si="36"/>
        <v>Office Equipments</v>
      </c>
      <c r="D582" t="str">
        <f>IF(B4="Smartphone",
"Apple",
IF(B4="Smartwatch",
"Apple",
IF(B4="Laptop",
"Lenovo",
IF(B4="Desktop PC",
"Apple",
IF(B4="Tablet",
"Apple",
IF(B4="Headphone",
"Sony",
IF(B4="Camera",
"Sony",
IF(B4="Printer",
"HP",
IF(B4="External Hard Disk",
"Seagate",
"Other")))))))))</f>
        <v>Apple</v>
      </c>
      <c r="E582" t="str">
        <f t="shared" si="37"/>
        <v>Redington India</v>
      </c>
      <c r="F582">
        <f t="shared" si="38"/>
        <v>40000</v>
      </c>
      <c r="G582">
        <f t="shared" si="39"/>
        <v>44000</v>
      </c>
    </row>
    <row r="583" spans="1:7" x14ac:dyDescent="0.25">
      <c r="A583" t="s">
        <v>582</v>
      </c>
      <c r="B583" t="s">
        <v>1001</v>
      </c>
      <c r="C583" t="str">
        <f t="shared" si="36"/>
        <v>Mobile and Wearables</v>
      </c>
      <c r="D583" t="str">
        <f>IF(B5="Smartphone",
"Apple",
IF(B5="Smartwatch",
"Apple",
IF(B5="Laptop",
"Lenovo",
IF(B5="Desktop PC",
"Apple",
IF(B5="Tablet",
"Apple",
IF(B5="Headphone",
"Sony",
IF(B5="Camera",
"Sony",
IF(B5="Printer",
"HP",
IF(B5="External Hard Disk",
"Seagate",
"Other")))))))))</f>
        <v>Other</v>
      </c>
      <c r="E583" t="str">
        <f t="shared" si="37"/>
        <v>Ingram Micron India</v>
      </c>
      <c r="F583">
        <f t="shared" si="38"/>
        <v>35000</v>
      </c>
      <c r="G583">
        <f t="shared" si="39"/>
        <v>38500</v>
      </c>
    </row>
    <row r="584" spans="1:7" x14ac:dyDescent="0.25">
      <c r="A584" t="s">
        <v>583</v>
      </c>
      <c r="B584" t="s">
        <v>1005</v>
      </c>
      <c r="C584" t="str">
        <f t="shared" si="36"/>
        <v>Electronics (Computing Devices)</v>
      </c>
      <c r="D584" t="str">
        <f>IF(B6="Smartphone",
"Apple",
IF(B6="Smartwatch",
"Apple",
IF(B6="Laptop",
"Lenovo",
IF(B6="Desktop PC",
"Apple",
IF(B6="Tablet",
"Apple",
IF(B6="Headphone",
"Sony",
IF(B6="Camera",
"Sony",
IF(B6="Printer",
"HP",
IF(B6="External Hard Disk",
"Seagate",
"Other")))))))))</f>
        <v>Lenovo</v>
      </c>
      <c r="E584" t="str">
        <f t="shared" si="37"/>
        <v>Savex Technologies</v>
      </c>
      <c r="F584">
        <f t="shared" si="38"/>
        <v>45000</v>
      </c>
      <c r="G584">
        <f t="shared" si="39"/>
        <v>49500.000000000007</v>
      </c>
    </row>
    <row r="585" spans="1:7" x14ac:dyDescent="0.25">
      <c r="A585" t="s">
        <v>584</v>
      </c>
      <c r="B585" t="s">
        <v>1001</v>
      </c>
      <c r="C585" t="str">
        <f t="shared" si="36"/>
        <v>Mobile and Wearables</v>
      </c>
      <c r="D585" t="str">
        <f>IF(B7="Smartphone",
"Apple",
IF(B7="Smartwatch",
"Apple",
IF(B7="Laptop",
"Lenovo",
IF(B7="Desktop PC",
"Apple",
IF(B7="Tablet",
"Apple",
IF(B7="Headphone",
"Sony",
IF(B7="Camera",
"Sony",
IF(B7="Printer",
"HP",
IF(B7="External Hard Disk",
"Seagate",
"Other")))))))))</f>
        <v>Lenovo</v>
      </c>
      <c r="E585" t="str">
        <f t="shared" si="37"/>
        <v>Savex Technologies</v>
      </c>
      <c r="F585">
        <f t="shared" si="38"/>
        <v>45000</v>
      </c>
      <c r="G585">
        <f t="shared" si="39"/>
        <v>49500.000000000007</v>
      </c>
    </row>
    <row r="586" spans="1:7" x14ac:dyDescent="0.25">
      <c r="A586" t="s">
        <v>585</v>
      </c>
      <c r="B586" t="s">
        <v>1012</v>
      </c>
      <c r="C586" t="str">
        <f t="shared" si="36"/>
        <v>Audio Devices</v>
      </c>
      <c r="D586" t="str">
        <f>IF(B8="Smartphone",
"Apple",
IF(B8="Smartwatch",
"Apple",
IF(B8="Laptop",
"Lenovo",
IF(B8="Desktop PC",
"Apple",
IF(B8="Tablet",
"Apple",
IF(B8="Headphone",
"Sony",
IF(B8="Camera",
"Sony",
IF(B8="Printer",
"HP",
IF(B8="External Hard Disk",
"Seagate",
"Other")))))))))</f>
        <v>Apple</v>
      </c>
      <c r="E586" t="str">
        <f t="shared" si="37"/>
        <v>Redington India</v>
      </c>
      <c r="F586">
        <f t="shared" si="38"/>
        <v>40000</v>
      </c>
      <c r="G586">
        <f t="shared" si="39"/>
        <v>44000</v>
      </c>
    </row>
    <row r="587" spans="1:7" x14ac:dyDescent="0.25">
      <c r="A587" t="s">
        <v>586</v>
      </c>
      <c r="B587" t="s">
        <v>1003</v>
      </c>
      <c r="C587" t="str">
        <f t="shared" si="36"/>
        <v>Electronics (Computing Devices)</v>
      </c>
      <c r="D587" t="str">
        <f>IF(B9="Smartphone",
"Apple",
IF(B9="Smartwatch",
"Apple",
IF(B9="Laptop",
"Lenovo",
IF(B9="Desktop PC",
"Apple",
IF(B9="Tablet",
"Apple",
IF(B9="Headphone",
"Sony",
IF(B9="Camera",
"Sony",
IF(B9="Printer",
"HP",
IF(B9="External Hard Disk",
"Seagate",
"Other")))))))))</f>
        <v>Seagate</v>
      </c>
      <c r="E587" t="str">
        <f t="shared" si="37"/>
        <v>Ingram Micron India</v>
      </c>
      <c r="F587">
        <f t="shared" si="38"/>
        <v>35000</v>
      </c>
      <c r="G587">
        <f t="shared" si="39"/>
        <v>38500</v>
      </c>
    </row>
    <row r="588" spans="1:7" x14ac:dyDescent="0.25">
      <c r="A588" t="s">
        <v>587</v>
      </c>
      <c r="B588" t="s">
        <v>1007</v>
      </c>
      <c r="C588" t="str">
        <f t="shared" si="36"/>
        <v>Mobile and Wearables</v>
      </c>
      <c r="D588" t="str">
        <f>IF(B10="Smartphone",
"Apple",
IF(B10="Smartwatch",
"Apple",
IF(B10="Laptop",
"Lenovo",
IF(B10="Desktop PC",
"Apple",
IF(B10="Tablet",
"Apple",
IF(B10="Headphone",
"Sony",
IF(B10="Camera",
"Sony",
IF(B10="Printer",
"HP",
IF(B10="External Hard Disk",
"Seagate",
"Other")))))))))</f>
        <v>Apple</v>
      </c>
      <c r="E588" t="str">
        <f t="shared" si="37"/>
        <v>Redington India</v>
      </c>
      <c r="F588">
        <f t="shared" si="38"/>
        <v>40000</v>
      </c>
      <c r="G588">
        <f t="shared" si="39"/>
        <v>44000</v>
      </c>
    </row>
    <row r="589" spans="1:7" x14ac:dyDescent="0.25">
      <c r="A589" t="s">
        <v>588</v>
      </c>
      <c r="B589" t="s">
        <v>1013</v>
      </c>
      <c r="C589" t="str">
        <f t="shared" si="36"/>
        <v>Storage Devices</v>
      </c>
      <c r="D589" t="str">
        <f>IF(B11="Smartphone",
"Apple",
IF(B11="Smartwatch",
"Apple",
IF(B11="Laptop",
"Lenovo",
IF(B11="Desktop PC",
"Apple",
IF(B11="Tablet",
"Apple",
IF(B11="Headphone",
"Sony",
IF(B11="Camera",
"Sony",
IF(B11="Printer",
"HP",
IF(B11="External Hard Disk",
"Seagate",
"Other")))))))))</f>
        <v>Apple</v>
      </c>
      <c r="E589" t="str">
        <f t="shared" si="37"/>
        <v>Redington India</v>
      </c>
      <c r="F589">
        <f t="shared" si="38"/>
        <v>40000</v>
      </c>
      <c r="G589">
        <f t="shared" si="39"/>
        <v>44000</v>
      </c>
    </row>
    <row r="590" spans="1:7" x14ac:dyDescent="0.25">
      <c r="A590" t="s">
        <v>589</v>
      </c>
      <c r="B590" t="s">
        <v>1004</v>
      </c>
      <c r="C590" t="str">
        <f t="shared" si="36"/>
        <v>Electronics (Computing Devices)</v>
      </c>
      <c r="D590" t="str">
        <f>IF(B12="Smartphone",
"Apple",
IF(B12="Smartwatch",
"Apple",
IF(B12="Laptop",
"Lenovo",
IF(B12="Desktop PC",
"Apple",
IF(B12="Tablet",
"Apple",
IF(B12="Headphone",
"Sony",
IF(B12="Camera",
"Sony",
IF(B12="Printer",
"HP",
IF(B12="External Hard Disk",
"Seagate",
"Other")))))))))</f>
        <v>Apple</v>
      </c>
      <c r="E590" t="str">
        <f t="shared" si="37"/>
        <v>Redington India</v>
      </c>
      <c r="F590">
        <f t="shared" si="38"/>
        <v>40000</v>
      </c>
      <c r="G590">
        <f t="shared" si="39"/>
        <v>44000</v>
      </c>
    </row>
    <row r="591" spans="1:7" x14ac:dyDescent="0.25">
      <c r="A591" t="s">
        <v>590</v>
      </c>
      <c r="B591" t="s">
        <v>1009</v>
      </c>
      <c r="C591" t="str">
        <f t="shared" si="36"/>
        <v>Office Equipments</v>
      </c>
      <c r="D591" t="str">
        <f>IF(B13="Smartphone",
"Apple",
IF(B13="Smartwatch",
"Apple",
IF(B13="Laptop",
"Lenovo",
IF(B13="Desktop PC",
"Apple",
IF(B13="Tablet",
"Apple",
IF(B13="Headphone",
"Sony",
IF(B13="Camera",
"Sony",
IF(B13="Printer",
"HP",
IF(B13="External Hard Disk",
"Seagate",
"Other")))))))))</f>
        <v>Sony</v>
      </c>
      <c r="E591" t="str">
        <f t="shared" si="37"/>
        <v>Supertron Electronics</v>
      </c>
      <c r="F591">
        <f t="shared" si="38"/>
        <v>60000</v>
      </c>
      <c r="G591">
        <f t="shared" si="39"/>
        <v>66000</v>
      </c>
    </row>
    <row r="592" spans="1:7" x14ac:dyDescent="0.25">
      <c r="A592" t="s">
        <v>591</v>
      </c>
      <c r="B592" t="s">
        <v>1003</v>
      </c>
      <c r="C592" t="str">
        <f t="shared" si="36"/>
        <v>Electronics (Computing Devices)</v>
      </c>
      <c r="D592" t="str">
        <f>IF(B14="Smartphone",
"Apple",
IF(B14="Smartwatch",
"Apple",
IF(B14="Laptop",
"Lenovo",
IF(B14="Desktop PC",
"Apple",
IF(B14="Tablet",
"Apple",
IF(B14="Headphone",
"Sony",
IF(B14="Camera",
"Sony",
IF(B14="Printer",
"HP",
IF(B14="External Hard Disk",
"Seagate",
"Other")))))))))</f>
        <v>HP</v>
      </c>
      <c r="E592" t="str">
        <f t="shared" si="37"/>
        <v>Savex Technologies</v>
      </c>
      <c r="F592">
        <f t="shared" si="38"/>
        <v>40000</v>
      </c>
      <c r="G592">
        <f t="shared" si="39"/>
        <v>44000</v>
      </c>
    </row>
    <row r="593" spans="1:7" x14ac:dyDescent="0.25">
      <c r="A593" t="s">
        <v>592</v>
      </c>
      <c r="B593" t="s">
        <v>1002</v>
      </c>
      <c r="C593" t="str">
        <f t="shared" si="36"/>
        <v>Electronics (Computing Devices)</v>
      </c>
      <c r="D593" t="str">
        <f>IF(B15="Smartphone",
"Apple",
IF(B15="Smartwatch",
"Apple",
IF(B15="Laptop",
"Lenovo",
IF(B15="Desktop PC",
"Apple",
IF(B15="Tablet",
"Apple",
IF(B15="Headphone",
"Sony",
IF(B15="Camera",
"Sony",
IF(B15="Printer",
"HP",
IF(B15="External Hard Disk",
"Seagate",
"Other")))))))))</f>
        <v>Apple</v>
      </c>
      <c r="E593" t="str">
        <f t="shared" si="37"/>
        <v>Redington India</v>
      </c>
      <c r="F593">
        <f t="shared" si="38"/>
        <v>40000</v>
      </c>
      <c r="G593">
        <f t="shared" si="39"/>
        <v>44000</v>
      </c>
    </row>
    <row r="594" spans="1:7" x14ac:dyDescent="0.25">
      <c r="A594" t="s">
        <v>593</v>
      </c>
      <c r="B594" t="s">
        <v>1010</v>
      </c>
      <c r="C594" t="str">
        <f t="shared" si="36"/>
        <v>Office Equipments</v>
      </c>
      <c r="D594" t="str">
        <f>IF(B16="Smartphone",
"Apple",
IF(B16="Smartwatch",
"Apple",
IF(B16="Laptop",
"Lenovo",
IF(B16="Desktop PC",
"Apple",
IF(B16="Tablet",
"Apple",
IF(B16="Headphone",
"Sony",
IF(B16="Camera",
"Sony",
IF(B16="Printer",
"HP",
IF(B16="External Hard Disk",
"Seagate",
"Other")))))))))</f>
        <v>Apple</v>
      </c>
      <c r="E594" t="str">
        <f t="shared" si="37"/>
        <v>Redington India</v>
      </c>
      <c r="F594">
        <f t="shared" si="38"/>
        <v>40000</v>
      </c>
      <c r="G594">
        <f t="shared" si="39"/>
        <v>44000</v>
      </c>
    </row>
    <row r="595" spans="1:7" x14ac:dyDescent="0.25">
      <c r="A595" t="s">
        <v>594</v>
      </c>
      <c r="B595" t="s">
        <v>1003</v>
      </c>
      <c r="C595" t="str">
        <f t="shared" si="36"/>
        <v>Electronics (Computing Devices)</v>
      </c>
      <c r="D595" t="str">
        <f>IF(B17="Smartphone",
"Apple",
IF(B17="Smartwatch",
"Apple",
IF(B17="Laptop",
"Lenovo",
IF(B17="Desktop PC",
"Apple",
IF(B17="Tablet",
"Apple",
IF(B17="Headphone",
"Sony",
IF(B17="Camera",
"Sony",
IF(B17="Printer",
"HP",
IF(B17="External Hard Disk",
"Seagate",
"Other")))))))))</f>
        <v>Sony</v>
      </c>
      <c r="E595" t="str">
        <f t="shared" si="37"/>
        <v>Supertron Electronics</v>
      </c>
      <c r="F595">
        <f t="shared" si="38"/>
        <v>60000</v>
      </c>
      <c r="G595">
        <f t="shared" si="39"/>
        <v>66000</v>
      </c>
    </row>
    <row r="596" spans="1:7" x14ac:dyDescent="0.25">
      <c r="A596" t="s">
        <v>595</v>
      </c>
      <c r="B596" t="s">
        <v>1010</v>
      </c>
      <c r="C596" t="str">
        <f t="shared" si="36"/>
        <v>Office Equipments</v>
      </c>
      <c r="D596" t="str">
        <f>IF(B18="Smartphone",
"Apple",
IF(B18="Smartwatch",
"Apple",
IF(B18="Laptop",
"Lenovo",
IF(B18="Desktop PC",
"Apple",
IF(B18="Tablet",
"Apple",
IF(B18="Headphone",
"Sony",
IF(B18="Camera",
"Sony",
IF(B18="Printer",
"HP",
IF(B18="External Hard Disk",
"Seagate",
"Other")))))))))</f>
        <v>Apple</v>
      </c>
      <c r="E596" t="str">
        <f t="shared" si="37"/>
        <v>Redington India</v>
      </c>
      <c r="F596">
        <f t="shared" si="38"/>
        <v>40000</v>
      </c>
      <c r="G596">
        <f t="shared" si="39"/>
        <v>44000</v>
      </c>
    </row>
    <row r="597" spans="1:7" x14ac:dyDescent="0.25">
      <c r="A597" t="s">
        <v>596</v>
      </c>
      <c r="B597" t="s">
        <v>1002</v>
      </c>
      <c r="C597" t="str">
        <f t="shared" si="36"/>
        <v>Electronics (Computing Devices)</v>
      </c>
      <c r="D597" t="str">
        <f>IF(B19="Smartphone",
"Apple",
IF(B19="Smartwatch",
"Apple",
IF(B19="Laptop",
"Lenovo",
IF(B19="Desktop PC",
"Apple",
IF(B19="Tablet",
"Apple",
IF(B19="Headphone",
"Sony",
IF(B19="Camera",
"Sony",
IF(B19="Printer",
"HP",
IF(B19="External Hard Disk",
"Seagate",
"Other")))))))))</f>
        <v>HP</v>
      </c>
      <c r="E597" t="str">
        <f t="shared" si="37"/>
        <v>Savex Technologies</v>
      </c>
      <c r="F597">
        <f t="shared" si="38"/>
        <v>40000</v>
      </c>
      <c r="G597">
        <f t="shared" si="39"/>
        <v>44000</v>
      </c>
    </row>
    <row r="598" spans="1:7" x14ac:dyDescent="0.25">
      <c r="A598" t="s">
        <v>597</v>
      </c>
      <c r="B598" t="s">
        <v>1009</v>
      </c>
      <c r="C598" t="str">
        <f t="shared" si="36"/>
        <v>Office Equipments</v>
      </c>
      <c r="D598" t="str">
        <f>IF(B20="Smartphone",
"Apple",
IF(B20="Smartwatch",
"Apple",
IF(B20="Laptop",
"Lenovo",
IF(B20="Desktop PC",
"Apple",
IF(B20="Tablet",
"Apple",
IF(B20="Headphone",
"Sony",
IF(B20="Camera",
"Sony",
IF(B20="Printer",
"HP",
IF(B20="External Hard Disk",
"Seagate",
"Other")))))))))</f>
        <v>HP</v>
      </c>
      <c r="E598" t="str">
        <f t="shared" si="37"/>
        <v>Savex Technologies</v>
      </c>
      <c r="F598">
        <f t="shared" si="38"/>
        <v>40000</v>
      </c>
      <c r="G598">
        <f t="shared" si="39"/>
        <v>44000</v>
      </c>
    </row>
    <row r="599" spans="1:7" x14ac:dyDescent="0.25">
      <c r="A599" t="s">
        <v>598</v>
      </c>
      <c r="B599" t="s">
        <v>1004</v>
      </c>
      <c r="C599" t="str">
        <f t="shared" si="36"/>
        <v>Electronics (Computing Devices)</v>
      </c>
      <c r="D599" t="str">
        <f>IF(B21="Smartphone",
"Apple",
IF(B21="Smartwatch",
"Apple",
IF(B21="Laptop",
"Lenovo",
IF(B21="Desktop PC",
"Apple",
IF(B21="Tablet",
"Apple",
IF(B21="Headphone",
"Sony",
IF(B21="Camera",
"Sony",
IF(B21="Printer",
"HP",
IF(B21="External Hard Disk",
"Seagate",
"Other")))))))))</f>
        <v>HP</v>
      </c>
      <c r="E599" t="str">
        <f t="shared" si="37"/>
        <v>Savex Technologies</v>
      </c>
      <c r="F599">
        <f t="shared" si="38"/>
        <v>40000</v>
      </c>
      <c r="G599">
        <f t="shared" si="39"/>
        <v>44000</v>
      </c>
    </row>
    <row r="600" spans="1:7" x14ac:dyDescent="0.25">
      <c r="A600" t="s">
        <v>599</v>
      </c>
      <c r="B600" t="s">
        <v>1002</v>
      </c>
      <c r="C600" t="str">
        <f t="shared" si="36"/>
        <v>Electronics (Computing Devices)</v>
      </c>
      <c r="D600" t="str">
        <f>IF(B22="Smartphone",
"Apple",
IF(B22="Smartwatch",
"Apple",
IF(B22="Laptop",
"Lenovo",
IF(B22="Desktop PC",
"Apple",
IF(B22="Tablet",
"Apple",
IF(B22="Headphone",
"Sony",
IF(B22="Camera",
"Sony",
IF(B22="Printer",
"HP",
IF(B22="External Hard Disk",
"Seagate",
"Other")))))))))</f>
        <v>Lenovo</v>
      </c>
      <c r="E600" t="str">
        <f t="shared" si="37"/>
        <v>Savex Technologies</v>
      </c>
      <c r="F600">
        <f t="shared" si="38"/>
        <v>45000</v>
      </c>
      <c r="G600">
        <f t="shared" si="39"/>
        <v>49500.000000000007</v>
      </c>
    </row>
    <row r="601" spans="1:7" x14ac:dyDescent="0.25">
      <c r="A601" t="s">
        <v>600</v>
      </c>
      <c r="B601" t="s">
        <v>1003</v>
      </c>
      <c r="C601" t="str">
        <f t="shared" si="36"/>
        <v>Electronics (Computing Devices)</v>
      </c>
      <c r="D601" t="str">
        <f>IF(B23="Smartphone",
"Apple",
IF(B23="Smartwatch",
"Apple",
IF(B23="Laptop",
"Lenovo",
IF(B23="Desktop PC",
"Apple",
IF(B23="Tablet",
"Apple",
IF(B23="Headphone",
"Sony",
IF(B23="Camera",
"Sony",
IF(B23="Printer",
"HP",
IF(B23="External Hard Disk",
"Seagate",
"Other")))))))))</f>
        <v>Lenovo</v>
      </c>
      <c r="E601" t="str">
        <f t="shared" si="37"/>
        <v>Savex Technologies</v>
      </c>
      <c r="F601">
        <f t="shared" si="38"/>
        <v>45000</v>
      </c>
      <c r="G601">
        <f t="shared" si="39"/>
        <v>49500.000000000007</v>
      </c>
    </row>
    <row r="602" spans="1:7" x14ac:dyDescent="0.25">
      <c r="A602" t="s">
        <v>601</v>
      </c>
      <c r="B602" t="s">
        <v>1010</v>
      </c>
      <c r="C602" t="str">
        <f t="shared" si="36"/>
        <v>Office Equipments</v>
      </c>
      <c r="D602" t="str">
        <f>IF(B24="Smartphone",
"Apple",
IF(B24="Smartwatch",
"Apple",
IF(B24="Laptop",
"Lenovo",
IF(B24="Desktop PC",
"Apple",
IF(B24="Tablet",
"Apple",
IF(B24="Headphone",
"Sony",
IF(B24="Camera",
"Sony",
IF(B24="Printer",
"HP",
IF(B24="External Hard Disk",
"Seagate",
"Other")))))))))</f>
        <v>Other</v>
      </c>
      <c r="E602" t="str">
        <f t="shared" si="37"/>
        <v>Ingram Micron India</v>
      </c>
      <c r="F602">
        <f t="shared" si="38"/>
        <v>35000</v>
      </c>
      <c r="G602">
        <f t="shared" si="39"/>
        <v>38500</v>
      </c>
    </row>
    <row r="603" spans="1:7" x14ac:dyDescent="0.25">
      <c r="A603" t="s">
        <v>602</v>
      </c>
      <c r="B603" t="s">
        <v>1012</v>
      </c>
      <c r="C603" t="str">
        <f t="shared" si="36"/>
        <v>Audio Devices</v>
      </c>
      <c r="D603" t="str">
        <f>IF(B25="Smartphone",
"Apple",
IF(B25="Smartwatch",
"Apple",
IF(B25="Laptop",
"Lenovo",
IF(B25="Desktop PC",
"Apple",
IF(B25="Tablet",
"Apple",
IF(B25="Headphone",
"Sony",
IF(B25="Camera",
"Sony",
IF(B25="Printer",
"HP",
IF(B25="External Hard Disk",
"Seagate",
"Other")))))))))</f>
        <v>Sony</v>
      </c>
      <c r="E603" t="str">
        <f t="shared" si="37"/>
        <v>Supertron Electronics</v>
      </c>
      <c r="F603">
        <f t="shared" si="38"/>
        <v>60000</v>
      </c>
      <c r="G603">
        <f t="shared" si="39"/>
        <v>66000</v>
      </c>
    </row>
    <row r="604" spans="1:7" x14ac:dyDescent="0.25">
      <c r="A604" t="s">
        <v>603</v>
      </c>
      <c r="B604" t="s">
        <v>1003</v>
      </c>
      <c r="C604" t="str">
        <f t="shared" si="36"/>
        <v>Electronics (Computing Devices)</v>
      </c>
      <c r="D604" t="str">
        <f>IF(B26="Smartphone",
"Apple",
IF(B26="Smartwatch",
"Apple",
IF(B26="Laptop",
"Lenovo",
IF(B26="Desktop PC",
"Apple",
IF(B26="Tablet",
"Apple",
IF(B26="Headphone",
"Sony",
IF(B26="Camera",
"Sony",
IF(B26="Printer",
"HP",
IF(B26="External Hard Disk",
"Seagate",
"Other")))))))))</f>
        <v>Sony</v>
      </c>
      <c r="E604" t="str">
        <f t="shared" si="37"/>
        <v>Supertron Electronics</v>
      </c>
      <c r="F604">
        <f t="shared" si="38"/>
        <v>60000</v>
      </c>
      <c r="G604">
        <f t="shared" si="39"/>
        <v>66000</v>
      </c>
    </row>
    <row r="605" spans="1:7" x14ac:dyDescent="0.25">
      <c r="A605" t="s">
        <v>604</v>
      </c>
      <c r="B605" t="s">
        <v>1004</v>
      </c>
      <c r="C605" t="str">
        <f t="shared" si="36"/>
        <v>Electronics (Computing Devices)</v>
      </c>
      <c r="D605" t="str">
        <f>IF(B27="Smartphone",
"Apple",
IF(B27="Smartwatch",
"Apple",
IF(B27="Laptop",
"Lenovo",
IF(B27="Desktop PC",
"Apple",
IF(B27="Tablet",
"Apple",
IF(B27="Headphone",
"Sony",
IF(B27="Camera",
"Sony",
IF(B27="Printer",
"HP",
IF(B27="External Hard Disk",
"Seagate",
"Other")))))))))</f>
        <v>Seagate</v>
      </c>
      <c r="E605" t="str">
        <f t="shared" si="37"/>
        <v>Ingram Micron India</v>
      </c>
      <c r="F605">
        <f t="shared" si="38"/>
        <v>35000</v>
      </c>
      <c r="G605">
        <f t="shared" si="39"/>
        <v>38500</v>
      </c>
    </row>
    <row r="606" spans="1:7" x14ac:dyDescent="0.25">
      <c r="A606" t="s">
        <v>605</v>
      </c>
      <c r="B606" t="s">
        <v>1007</v>
      </c>
      <c r="C606" t="str">
        <f t="shared" si="36"/>
        <v>Mobile and Wearables</v>
      </c>
      <c r="D606" t="str">
        <f>IF(B28="Smartphone",
"Apple",
IF(B28="Smartwatch",
"Apple",
IF(B28="Laptop",
"Lenovo",
IF(B28="Desktop PC",
"Apple",
IF(B28="Tablet",
"Apple",
IF(B28="Headphone",
"Sony",
IF(B28="Camera",
"Sony",
IF(B28="Printer",
"HP",
IF(B28="External Hard Disk",
"Seagate",
"Other")))))))))</f>
        <v>Seagate</v>
      </c>
      <c r="E606" t="str">
        <f t="shared" si="37"/>
        <v>Ingram Micron India</v>
      </c>
      <c r="F606">
        <f t="shared" si="38"/>
        <v>35000</v>
      </c>
      <c r="G606">
        <f t="shared" si="39"/>
        <v>38500</v>
      </c>
    </row>
    <row r="607" spans="1:7" x14ac:dyDescent="0.25">
      <c r="A607" t="s">
        <v>606</v>
      </c>
      <c r="B607" t="s">
        <v>1004</v>
      </c>
      <c r="C607" t="str">
        <f t="shared" si="36"/>
        <v>Electronics (Computing Devices)</v>
      </c>
      <c r="D607" t="str">
        <f>IF(B29="Smartphone",
"Apple",
IF(B29="Smartwatch",
"Apple",
IF(B29="Laptop",
"Lenovo",
IF(B29="Desktop PC",
"Apple",
IF(B29="Tablet",
"Apple",
IF(B29="Headphone",
"Sony",
IF(B29="Camera",
"Sony",
IF(B29="Printer",
"HP",
IF(B29="External Hard Disk",
"Seagate",
"Other")))))))))</f>
        <v>Apple</v>
      </c>
      <c r="E607" t="str">
        <f t="shared" si="37"/>
        <v>Redington India</v>
      </c>
      <c r="F607">
        <f t="shared" si="38"/>
        <v>40000</v>
      </c>
      <c r="G607">
        <f t="shared" si="39"/>
        <v>44000</v>
      </c>
    </row>
    <row r="608" spans="1:7" x14ac:dyDescent="0.25">
      <c r="A608" t="s">
        <v>607</v>
      </c>
      <c r="B608" t="s">
        <v>1003</v>
      </c>
      <c r="C608" t="str">
        <f t="shared" si="36"/>
        <v>Electronics (Computing Devices)</v>
      </c>
      <c r="D608" t="str">
        <f>IF(B30="Smartphone",
"Apple",
IF(B30="Smartwatch",
"Apple",
IF(B30="Laptop",
"Lenovo",
IF(B30="Desktop PC",
"Apple",
IF(B30="Tablet",
"Apple",
IF(B30="Headphone",
"Sony",
IF(B30="Camera",
"Sony",
IF(B30="Printer",
"HP",
IF(B30="External Hard Disk",
"Seagate",
"Other")))))))))</f>
        <v>Apple</v>
      </c>
      <c r="E608" t="str">
        <f t="shared" si="37"/>
        <v>Redington India</v>
      </c>
      <c r="F608">
        <f t="shared" si="38"/>
        <v>40000</v>
      </c>
      <c r="G608">
        <f t="shared" si="39"/>
        <v>44000</v>
      </c>
    </row>
    <row r="609" spans="1:7" x14ac:dyDescent="0.25">
      <c r="A609" t="s">
        <v>608</v>
      </c>
      <c r="B609" t="s">
        <v>1013</v>
      </c>
      <c r="C609" t="str">
        <f t="shared" si="36"/>
        <v>Storage Devices</v>
      </c>
      <c r="D609" t="str">
        <f>IF(B31="Smartphone",
"Apple",
IF(B31="Smartwatch",
"Apple",
IF(B31="Laptop",
"Lenovo",
IF(B31="Desktop PC",
"Apple",
IF(B31="Tablet",
"Apple",
IF(B31="Headphone",
"Sony",
IF(B31="Camera",
"Sony",
IF(B31="Printer",
"HP",
IF(B31="External Hard Disk",
"Seagate",
"Other")))))))))</f>
        <v>Other</v>
      </c>
      <c r="E609" t="str">
        <f t="shared" si="37"/>
        <v>Ingram Micron India</v>
      </c>
      <c r="F609">
        <f t="shared" si="38"/>
        <v>35000</v>
      </c>
      <c r="G609">
        <f t="shared" si="39"/>
        <v>38500</v>
      </c>
    </row>
    <row r="610" spans="1:7" x14ac:dyDescent="0.25">
      <c r="A610" t="s">
        <v>609</v>
      </c>
      <c r="B610" t="s">
        <v>1010</v>
      </c>
      <c r="C610" t="str">
        <f t="shared" si="36"/>
        <v>Office Equipments</v>
      </c>
      <c r="D610" t="str">
        <f>IF(B32="Smartphone",
"Apple",
IF(B32="Smartwatch",
"Apple",
IF(B32="Laptop",
"Lenovo",
IF(B32="Desktop PC",
"Apple",
IF(B32="Tablet",
"Apple",
IF(B32="Headphone",
"Sony",
IF(B32="Camera",
"Sony",
IF(B32="Printer",
"HP",
IF(B32="External Hard Disk",
"Seagate",
"Other")))))))))</f>
        <v>Other</v>
      </c>
      <c r="E610" t="str">
        <f t="shared" si="37"/>
        <v>Ingram Micron India</v>
      </c>
      <c r="F610">
        <f t="shared" si="38"/>
        <v>35000</v>
      </c>
      <c r="G610">
        <f t="shared" si="39"/>
        <v>38500</v>
      </c>
    </row>
    <row r="611" spans="1:7" x14ac:dyDescent="0.25">
      <c r="A611" t="s">
        <v>610</v>
      </c>
      <c r="B611" t="s">
        <v>1010</v>
      </c>
      <c r="C611" t="str">
        <f t="shared" si="36"/>
        <v>Office Equipments</v>
      </c>
      <c r="D611" t="str">
        <f>IF(B33="Smartphone",
"Apple",
IF(B33="Smartwatch",
"Apple",
IF(B33="Laptop",
"Lenovo",
IF(B33="Desktop PC",
"Apple",
IF(B33="Tablet",
"Apple",
IF(B33="Headphone",
"Sony",
IF(B33="Camera",
"Sony",
IF(B33="Printer",
"HP",
IF(B33="External Hard Disk",
"Seagate",
"Other")))))))))</f>
        <v>Sony</v>
      </c>
      <c r="E611" t="str">
        <f t="shared" si="37"/>
        <v>Supertron Electronics</v>
      </c>
      <c r="F611">
        <f t="shared" si="38"/>
        <v>60000</v>
      </c>
      <c r="G611">
        <f t="shared" si="39"/>
        <v>66000</v>
      </c>
    </row>
    <row r="612" spans="1:7" x14ac:dyDescent="0.25">
      <c r="A612" t="s">
        <v>611</v>
      </c>
      <c r="B612" t="s">
        <v>1003</v>
      </c>
      <c r="C612" t="str">
        <f t="shared" si="36"/>
        <v>Electronics (Computing Devices)</v>
      </c>
      <c r="D612" t="str">
        <f>IF(B34="Smartphone",
"Apple",
IF(B34="Smartwatch",
"Apple",
IF(B34="Laptop",
"Lenovo",
IF(B34="Desktop PC",
"Apple",
IF(B34="Tablet",
"Apple",
IF(B34="Headphone",
"Sony",
IF(B34="Camera",
"Sony",
IF(B34="Printer",
"HP",
IF(B34="External Hard Disk",
"Seagate",
"Other")))))))))</f>
        <v>Sony</v>
      </c>
      <c r="E612" t="str">
        <f t="shared" si="37"/>
        <v>Supertron Electronics</v>
      </c>
      <c r="F612">
        <f t="shared" si="38"/>
        <v>60000</v>
      </c>
      <c r="G612">
        <f t="shared" si="39"/>
        <v>66000</v>
      </c>
    </row>
    <row r="613" spans="1:7" x14ac:dyDescent="0.25">
      <c r="A613" t="s">
        <v>612</v>
      </c>
      <c r="B613" t="s">
        <v>1010</v>
      </c>
      <c r="C613" t="str">
        <f t="shared" si="36"/>
        <v>Office Equipments</v>
      </c>
      <c r="D613" t="str">
        <f>IF(B35="Smartphone",
"Apple",
IF(B35="Smartwatch",
"Apple",
IF(B35="Laptop",
"Lenovo",
IF(B35="Desktop PC",
"Apple",
IF(B35="Tablet",
"Apple",
IF(B35="Headphone",
"Sony",
IF(B35="Camera",
"Sony",
IF(B35="Printer",
"HP",
IF(B35="External Hard Disk",
"Seagate",
"Other")))))))))</f>
        <v>Apple</v>
      </c>
      <c r="E613" t="str">
        <f t="shared" si="37"/>
        <v>Redington India</v>
      </c>
      <c r="F613">
        <f t="shared" si="38"/>
        <v>40000</v>
      </c>
      <c r="G613">
        <f t="shared" si="39"/>
        <v>44000</v>
      </c>
    </row>
    <row r="614" spans="1:7" x14ac:dyDescent="0.25">
      <c r="A614" t="s">
        <v>613</v>
      </c>
      <c r="B614" t="s">
        <v>1009</v>
      </c>
      <c r="C614" t="str">
        <f t="shared" si="36"/>
        <v>Office Equipments</v>
      </c>
      <c r="D614" t="str">
        <f>IF(B36="Smartphone",
"Apple",
IF(B36="Smartwatch",
"Apple",
IF(B36="Laptop",
"Lenovo",
IF(B36="Desktop PC",
"Apple",
IF(B36="Tablet",
"Apple",
IF(B36="Headphone",
"Sony",
IF(B36="Camera",
"Sony",
IF(B36="Printer",
"HP",
IF(B36="External Hard Disk",
"Seagate",
"Other")))))))))</f>
        <v>Lenovo</v>
      </c>
      <c r="E614" t="str">
        <f t="shared" si="37"/>
        <v>Savex Technologies</v>
      </c>
      <c r="F614">
        <f t="shared" si="38"/>
        <v>45000</v>
      </c>
      <c r="G614">
        <f t="shared" si="39"/>
        <v>49500.000000000007</v>
      </c>
    </row>
    <row r="615" spans="1:7" x14ac:dyDescent="0.25">
      <c r="A615" t="s">
        <v>614</v>
      </c>
      <c r="B615" t="s">
        <v>1012</v>
      </c>
      <c r="C615" t="str">
        <f t="shared" si="36"/>
        <v>Audio Devices</v>
      </c>
      <c r="D615" t="str">
        <f>IF(B37="Smartphone",
"Apple",
IF(B37="Smartwatch",
"Apple",
IF(B37="Laptop",
"Lenovo",
IF(B37="Desktop PC",
"Apple",
IF(B37="Tablet",
"Apple",
IF(B37="Headphone",
"Sony",
IF(B37="Camera",
"Sony",
IF(B37="Printer",
"HP",
IF(B37="External Hard Disk",
"Seagate",
"Other")))))))))</f>
        <v>Seagate</v>
      </c>
      <c r="E615" t="str">
        <f t="shared" si="37"/>
        <v>Ingram Micron India</v>
      </c>
      <c r="F615">
        <f t="shared" si="38"/>
        <v>35000</v>
      </c>
      <c r="G615">
        <f t="shared" si="39"/>
        <v>38500</v>
      </c>
    </row>
    <row r="616" spans="1:7" x14ac:dyDescent="0.25">
      <c r="A616" t="s">
        <v>615</v>
      </c>
      <c r="B616" t="s">
        <v>1004</v>
      </c>
      <c r="C616" t="str">
        <f t="shared" si="36"/>
        <v>Electronics (Computing Devices)</v>
      </c>
      <c r="D616" t="str">
        <f>IF(B38="Smartphone",
"Apple",
IF(B38="Smartwatch",
"Apple",
IF(B38="Laptop",
"Lenovo",
IF(B38="Desktop PC",
"Apple",
IF(B38="Tablet",
"Apple",
IF(B38="Headphone",
"Sony",
IF(B38="Camera",
"Sony",
IF(B38="Printer",
"HP",
IF(B38="External Hard Disk",
"Seagate",
"Other")))))))))</f>
        <v>Seagate</v>
      </c>
      <c r="E616" t="str">
        <f t="shared" si="37"/>
        <v>Ingram Micron India</v>
      </c>
      <c r="F616">
        <f t="shared" si="38"/>
        <v>35000</v>
      </c>
      <c r="G616">
        <f t="shared" si="39"/>
        <v>38500</v>
      </c>
    </row>
    <row r="617" spans="1:7" x14ac:dyDescent="0.25">
      <c r="A617" t="s">
        <v>616</v>
      </c>
      <c r="B617" t="s">
        <v>1007</v>
      </c>
      <c r="C617" t="str">
        <f t="shared" si="36"/>
        <v>Mobile and Wearables</v>
      </c>
      <c r="D617" t="str">
        <f>IF(B39="Smartphone",
"Apple",
IF(B39="Smartwatch",
"Apple",
IF(B39="Laptop",
"Lenovo",
IF(B39="Desktop PC",
"Apple",
IF(B39="Tablet",
"Apple",
IF(B39="Headphone",
"Sony",
IF(B39="Camera",
"Sony",
IF(B39="Printer",
"HP",
IF(B39="External Hard Disk",
"Seagate",
"Other")))))))))</f>
        <v>Apple</v>
      </c>
      <c r="E617" t="str">
        <f t="shared" si="37"/>
        <v>Redington India</v>
      </c>
      <c r="F617">
        <f t="shared" si="38"/>
        <v>40000</v>
      </c>
      <c r="G617">
        <f t="shared" si="39"/>
        <v>44000</v>
      </c>
    </row>
    <row r="618" spans="1:7" x14ac:dyDescent="0.25">
      <c r="A618" t="s">
        <v>617</v>
      </c>
      <c r="B618" t="s">
        <v>1012</v>
      </c>
      <c r="C618" t="str">
        <f t="shared" si="36"/>
        <v>Audio Devices</v>
      </c>
      <c r="D618" t="str">
        <f>IF(B40="Smartphone",
"Apple",
IF(B40="Smartwatch",
"Apple",
IF(B40="Laptop",
"Lenovo",
IF(B40="Desktop PC",
"Apple",
IF(B40="Tablet",
"Apple",
IF(B40="Headphone",
"Sony",
IF(B40="Camera",
"Sony",
IF(B40="Printer",
"HP",
IF(B40="External Hard Disk",
"Seagate",
"Other")))))))))</f>
        <v>HP</v>
      </c>
      <c r="E618" t="str">
        <f t="shared" si="37"/>
        <v>Savex Technologies</v>
      </c>
      <c r="F618">
        <f t="shared" si="38"/>
        <v>40000</v>
      </c>
      <c r="G618">
        <f t="shared" si="39"/>
        <v>44000</v>
      </c>
    </row>
    <row r="619" spans="1:7" x14ac:dyDescent="0.25">
      <c r="A619" t="s">
        <v>618</v>
      </c>
      <c r="B619" t="s">
        <v>1005</v>
      </c>
      <c r="C619" t="str">
        <f t="shared" si="36"/>
        <v>Electronics (Computing Devices)</v>
      </c>
      <c r="D619" t="str">
        <f>IF(B41="Smartphone",
"Apple",
IF(B41="Smartwatch",
"Apple",
IF(B41="Laptop",
"Lenovo",
IF(B41="Desktop PC",
"Apple",
IF(B41="Tablet",
"Apple",
IF(B41="Headphone",
"Sony",
IF(B41="Camera",
"Sony",
IF(B41="Printer",
"HP",
IF(B41="External Hard Disk",
"Seagate",
"Other")))))))))</f>
        <v>Other</v>
      </c>
      <c r="E619" t="str">
        <f t="shared" si="37"/>
        <v>Ingram Micron India</v>
      </c>
      <c r="F619">
        <f t="shared" si="38"/>
        <v>35000</v>
      </c>
      <c r="G619">
        <f t="shared" si="39"/>
        <v>38500</v>
      </c>
    </row>
    <row r="620" spans="1:7" x14ac:dyDescent="0.25">
      <c r="A620" t="s">
        <v>619</v>
      </c>
      <c r="B620" t="s">
        <v>1002</v>
      </c>
      <c r="C620" t="str">
        <f t="shared" si="36"/>
        <v>Electronics (Computing Devices)</v>
      </c>
      <c r="D620" t="str">
        <f>IF(B42="Smartphone",
"Apple",
IF(B42="Smartwatch",
"Apple",
IF(B42="Laptop",
"Lenovo",
IF(B42="Desktop PC",
"Apple",
IF(B42="Tablet",
"Apple",
IF(B42="Headphone",
"Sony",
IF(B42="Camera",
"Sony",
IF(B42="Printer",
"HP",
IF(B42="External Hard Disk",
"Seagate",
"Other")))))))))</f>
        <v>Sony</v>
      </c>
      <c r="E620" t="str">
        <f t="shared" si="37"/>
        <v>Supertron Electronics</v>
      </c>
      <c r="F620">
        <f t="shared" si="38"/>
        <v>60000</v>
      </c>
      <c r="G620">
        <f t="shared" si="39"/>
        <v>66000</v>
      </c>
    </row>
    <row r="621" spans="1:7" x14ac:dyDescent="0.25">
      <c r="A621" t="s">
        <v>620</v>
      </c>
      <c r="B621" t="s">
        <v>1002</v>
      </c>
      <c r="C621" t="str">
        <f t="shared" si="36"/>
        <v>Electronics (Computing Devices)</v>
      </c>
      <c r="D621" t="str">
        <f>IF(B43="Smartphone",
"Apple",
IF(B43="Smartwatch",
"Apple",
IF(B43="Laptop",
"Lenovo",
IF(B43="Desktop PC",
"Apple",
IF(B43="Tablet",
"Apple",
IF(B43="Headphone",
"Sony",
IF(B43="Camera",
"Sony",
IF(B43="Printer",
"HP",
IF(B43="External Hard Disk",
"Seagate",
"Other")))))))))</f>
        <v>Lenovo</v>
      </c>
      <c r="E621" t="str">
        <f t="shared" si="37"/>
        <v>Savex Technologies</v>
      </c>
      <c r="F621">
        <f t="shared" si="38"/>
        <v>45000</v>
      </c>
      <c r="G621">
        <f t="shared" si="39"/>
        <v>49500.000000000007</v>
      </c>
    </row>
    <row r="622" spans="1:7" x14ac:dyDescent="0.25">
      <c r="A622" t="s">
        <v>621</v>
      </c>
      <c r="B622" t="s">
        <v>1001</v>
      </c>
      <c r="C622" t="str">
        <f t="shared" si="36"/>
        <v>Mobile and Wearables</v>
      </c>
      <c r="D622" t="str">
        <f>IF(B44="Smartphone",
"Apple",
IF(B44="Smartwatch",
"Apple",
IF(B44="Laptop",
"Lenovo",
IF(B44="Desktop PC",
"Apple",
IF(B44="Tablet",
"Apple",
IF(B44="Headphone",
"Sony",
IF(B44="Camera",
"Sony",
IF(B44="Printer",
"HP",
IF(B44="External Hard Disk",
"Seagate",
"Other")))))))))</f>
        <v>Apple</v>
      </c>
      <c r="E622" t="str">
        <f t="shared" si="37"/>
        <v>Redington India</v>
      </c>
      <c r="F622">
        <f t="shared" si="38"/>
        <v>40000</v>
      </c>
      <c r="G622">
        <f t="shared" si="39"/>
        <v>44000</v>
      </c>
    </row>
    <row r="623" spans="1:7" x14ac:dyDescent="0.25">
      <c r="A623" t="s">
        <v>622</v>
      </c>
      <c r="B623" t="s">
        <v>1012</v>
      </c>
      <c r="C623" t="str">
        <f t="shared" si="36"/>
        <v>Audio Devices</v>
      </c>
      <c r="D623" t="str">
        <f>IF(B45="Smartphone",
"Apple",
IF(B45="Smartwatch",
"Apple",
IF(B45="Laptop",
"Lenovo",
IF(B45="Desktop PC",
"Apple",
IF(B45="Tablet",
"Apple",
IF(B45="Headphone",
"Sony",
IF(B45="Camera",
"Sony",
IF(B45="Printer",
"HP",
IF(B45="External Hard Disk",
"Seagate",
"Other")))))))))</f>
        <v>Sony</v>
      </c>
      <c r="E623" t="str">
        <f t="shared" si="37"/>
        <v>Supertron Electronics</v>
      </c>
      <c r="F623">
        <f t="shared" si="38"/>
        <v>60000</v>
      </c>
      <c r="G623">
        <f t="shared" si="39"/>
        <v>66000</v>
      </c>
    </row>
    <row r="624" spans="1:7" x14ac:dyDescent="0.25">
      <c r="A624" t="s">
        <v>623</v>
      </c>
      <c r="B624" t="s">
        <v>1002</v>
      </c>
      <c r="C624" t="str">
        <f t="shared" si="36"/>
        <v>Electronics (Computing Devices)</v>
      </c>
      <c r="D624" t="str">
        <f>IF(B46="Smartphone",
"Apple",
IF(B46="Smartwatch",
"Apple",
IF(B46="Laptop",
"Lenovo",
IF(B46="Desktop PC",
"Apple",
IF(B46="Tablet",
"Apple",
IF(B46="Headphone",
"Sony",
IF(B46="Camera",
"Sony",
IF(B46="Printer",
"HP",
IF(B46="External Hard Disk",
"Seagate",
"Other")))))))))</f>
        <v>Apple</v>
      </c>
      <c r="E624" t="str">
        <f t="shared" si="37"/>
        <v>Redington India</v>
      </c>
      <c r="F624">
        <f t="shared" si="38"/>
        <v>40000</v>
      </c>
      <c r="G624">
        <f t="shared" si="39"/>
        <v>44000</v>
      </c>
    </row>
    <row r="625" spans="1:7" x14ac:dyDescent="0.25">
      <c r="A625" t="s">
        <v>624</v>
      </c>
      <c r="B625" t="s">
        <v>1010</v>
      </c>
      <c r="C625" t="str">
        <f t="shared" si="36"/>
        <v>Office Equipments</v>
      </c>
      <c r="D625" t="str">
        <f>IF(B47="Smartphone",
"Apple",
IF(B47="Smartwatch",
"Apple",
IF(B47="Laptop",
"Lenovo",
IF(B47="Desktop PC",
"Apple",
IF(B47="Tablet",
"Apple",
IF(B47="Headphone",
"Sony",
IF(B47="Camera",
"Sony",
IF(B47="Printer",
"HP",
IF(B47="External Hard Disk",
"Seagate",
"Other")))))))))</f>
        <v>Apple</v>
      </c>
      <c r="E625" t="str">
        <f t="shared" si="37"/>
        <v>Redington India</v>
      </c>
      <c r="F625">
        <f t="shared" si="38"/>
        <v>40000</v>
      </c>
      <c r="G625">
        <f t="shared" si="39"/>
        <v>44000</v>
      </c>
    </row>
    <row r="626" spans="1:7" x14ac:dyDescent="0.25">
      <c r="A626" t="s">
        <v>625</v>
      </c>
      <c r="B626" t="s">
        <v>1010</v>
      </c>
      <c r="C626" t="str">
        <f t="shared" si="36"/>
        <v>Office Equipments</v>
      </c>
      <c r="D626" t="str">
        <f>IF(B48="Smartphone",
"Apple",
IF(B48="Smartwatch",
"Apple",
IF(B48="Laptop",
"Lenovo",
IF(B48="Desktop PC",
"Apple",
IF(B48="Tablet",
"Apple",
IF(B48="Headphone",
"Sony",
IF(B48="Camera",
"Sony",
IF(B48="Printer",
"HP",
IF(B48="External Hard Disk",
"Seagate",
"Other")))))))))</f>
        <v>Apple</v>
      </c>
      <c r="E626" t="str">
        <f t="shared" si="37"/>
        <v>Redington India</v>
      </c>
      <c r="F626">
        <f t="shared" si="38"/>
        <v>40000</v>
      </c>
      <c r="G626">
        <f t="shared" si="39"/>
        <v>44000</v>
      </c>
    </row>
    <row r="627" spans="1:7" x14ac:dyDescent="0.25">
      <c r="A627" t="s">
        <v>626</v>
      </c>
      <c r="B627" t="s">
        <v>1001</v>
      </c>
      <c r="C627" t="str">
        <f t="shared" si="36"/>
        <v>Mobile and Wearables</v>
      </c>
      <c r="D627" t="str">
        <f>IF(B49="Smartphone",
"Apple",
IF(B49="Smartwatch",
"Apple",
IF(B49="Laptop",
"Lenovo",
IF(B49="Desktop PC",
"Apple",
IF(B49="Tablet",
"Apple",
IF(B49="Headphone",
"Sony",
IF(B49="Camera",
"Sony",
IF(B49="Printer",
"HP",
IF(B49="External Hard Disk",
"Seagate",
"Other")))))))))</f>
        <v>Apple</v>
      </c>
      <c r="E627" t="str">
        <f t="shared" si="37"/>
        <v>Redington India</v>
      </c>
      <c r="F627">
        <f t="shared" si="38"/>
        <v>40000</v>
      </c>
      <c r="G627">
        <f t="shared" si="39"/>
        <v>44000</v>
      </c>
    </row>
    <row r="628" spans="1:7" x14ac:dyDescent="0.25">
      <c r="A628" t="s">
        <v>627</v>
      </c>
      <c r="B628" t="s">
        <v>1012</v>
      </c>
      <c r="C628" t="str">
        <f t="shared" si="36"/>
        <v>Audio Devices</v>
      </c>
      <c r="D628" t="str">
        <f>IF(B50="Smartphone",
"Apple",
IF(B50="Smartwatch",
"Apple",
IF(B50="Laptop",
"Lenovo",
IF(B50="Desktop PC",
"Apple",
IF(B50="Tablet",
"Apple",
IF(B50="Headphone",
"Sony",
IF(B50="Camera",
"Sony",
IF(B50="Printer",
"HP",
IF(B50="External Hard Disk",
"Seagate",
"Other")))))))))</f>
        <v>HP</v>
      </c>
      <c r="E628" t="str">
        <f t="shared" si="37"/>
        <v>Savex Technologies</v>
      </c>
      <c r="F628">
        <f t="shared" si="38"/>
        <v>40000</v>
      </c>
      <c r="G628">
        <f t="shared" si="39"/>
        <v>44000</v>
      </c>
    </row>
    <row r="629" spans="1:7" x14ac:dyDescent="0.25">
      <c r="A629" t="s">
        <v>628</v>
      </c>
      <c r="B629" t="s">
        <v>1010</v>
      </c>
      <c r="C629" t="str">
        <f t="shared" si="36"/>
        <v>Office Equipments</v>
      </c>
      <c r="D629" t="str">
        <f>IF(B51="Smartphone",
"Apple",
IF(B51="Smartwatch",
"Apple",
IF(B51="Laptop",
"Lenovo",
IF(B51="Desktop PC",
"Apple",
IF(B51="Tablet",
"Apple",
IF(B51="Headphone",
"Sony",
IF(B51="Camera",
"Sony",
IF(B51="Printer",
"HP",
IF(B51="External Hard Disk",
"Seagate",
"Other")))))))))</f>
        <v>Lenovo</v>
      </c>
      <c r="E629" t="str">
        <f t="shared" si="37"/>
        <v>Savex Technologies</v>
      </c>
      <c r="F629">
        <f t="shared" si="38"/>
        <v>45000</v>
      </c>
      <c r="G629">
        <f t="shared" si="39"/>
        <v>49500.000000000007</v>
      </c>
    </row>
    <row r="630" spans="1:7" x14ac:dyDescent="0.25">
      <c r="A630" t="s">
        <v>629</v>
      </c>
      <c r="B630" t="s">
        <v>1003</v>
      </c>
      <c r="C630" t="str">
        <f t="shared" si="36"/>
        <v>Electronics (Computing Devices)</v>
      </c>
      <c r="D630" t="str">
        <f>IF(B52="Smartphone",
"Apple",
IF(B52="Smartwatch",
"Apple",
IF(B52="Laptop",
"Lenovo",
IF(B52="Desktop PC",
"Apple",
IF(B52="Tablet",
"Apple",
IF(B52="Headphone",
"Sony",
IF(B52="Camera",
"Sony",
IF(B52="Printer",
"HP",
IF(B52="External Hard Disk",
"Seagate",
"Other")))))))))</f>
        <v>HP</v>
      </c>
      <c r="E630" t="str">
        <f t="shared" si="37"/>
        <v>Savex Technologies</v>
      </c>
      <c r="F630">
        <f t="shared" si="38"/>
        <v>40000</v>
      </c>
      <c r="G630">
        <f t="shared" si="39"/>
        <v>44000</v>
      </c>
    </row>
    <row r="631" spans="1:7" x14ac:dyDescent="0.25">
      <c r="A631" t="s">
        <v>630</v>
      </c>
      <c r="B631" t="s">
        <v>1009</v>
      </c>
      <c r="C631" t="str">
        <f t="shared" si="36"/>
        <v>Office Equipments</v>
      </c>
      <c r="D631" t="str">
        <f>IF(B53="Smartphone",
"Apple",
IF(B53="Smartwatch",
"Apple",
IF(B53="Laptop",
"Lenovo",
IF(B53="Desktop PC",
"Apple",
IF(B53="Tablet",
"Apple",
IF(B53="Headphone",
"Sony",
IF(B53="Camera",
"Sony",
IF(B53="Printer",
"HP",
IF(B53="External Hard Disk",
"Seagate",
"Other")))))))))</f>
        <v>Apple</v>
      </c>
      <c r="E631" t="str">
        <f t="shared" si="37"/>
        <v>Redington India</v>
      </c>
      <c r="F631">
        <f t="shared" si="38"/>
        <v>40000</v>
      </c>
      <c r="G631">
        <f t="shared" si="39"/>
        <v>44000</v>
      </c>
    </row>
    <row r="632" spans="1:7" x14ac:dyDescent="0.25">
      <c r="A632" t="s">
        <v>631</v>
      </c>
      <c r="B632" t="s">
        <v>1010</v>
      </c>
      <c r="C632" t="str">
        <f t="shared" si="36"/>
        <v>Office Equipments</v>
      </c>
      <c r="D632" t="str">
        <f>IF(B54="Smartphone",
"Apple",
IF(B54="Smartwatch",
"Apple",
IF(B54="Laptop",
"Lenovo",
IF(B54="Desktop PC",
"Apple",
IF(B54="Tablet",
"Apple",
IF(B54="Headphone",
"Sony",
IF(B54="Camera",
"Sony",
IF(B54="Printer",
"HP",
IF(B54="External Hard Disk",
"Seagate",
"Other")))))))))</f>
        <v>Apple</v>
      </c>
      <c r="E632" t="str">
        <f t="shared" si="37"/>
        <v>Redington India</v>
      </c>
      <c r="F632">
        <f t="shared" si="38"/>
        <v>40000</v>
      </c>
      <c r="G632">
        <f t="shared" si="39"/>
        <v>44000</v>
      </c>
    </row>
    <row r="633" spans="1:7" x14ac:dyDescent="0.25">
      <c r="A633" t="s">
        <v>632</v>
      </c>
      <c r="B633" t="s">
        <v>1009</v>
      </c>
      <c r="C633" t="str">
        <f t="shared" si="36"/>
        <v>Office Equipments</v>
      </c>
      <c r="D633" t="str">
        <f>IF(B55="Smartphone",
"Apple",
IF(B55="Smartwatch",
"Apple",
IF(B55="Laptop",
"Lenovo",
IF(B55="Desktop PC",
"Apple",
IF(B55="Tablet",
"Apple",
IF(B55="Headphone",
"Sony",
IF(B55="Camera",
"Sony",
IF(B55="Printer",
"HP",
IF(B55="External Hard Disk",
"Seagate",
"Other")))))))))</f>
        <v>Apple</v>
      </c>
      <c r="E633" t="str">
        <f t="shared" si="37"/>
        <v>Redington India</v>
      </c>
      <c r="F633">
        <f t="shared" si="38"/>
        <v>40000</v>
      </c>
      <c r="G633">
        <f t="shared" si="39"/>
        <v>44000</v>
      </c>
    </row>
    <row r="634" spans="1:7" x14ac:dyDescent="0.25">
      <c r="A634" t="s">
        <v>633</v>
      </c>
      <c r="B634" t="s">
        <v>1013</v>
      </c>
      <c r="C634" t="str">
        <f t="shared" si="36"/>
        <v>Storage Devices</v>
      </c>
      <c r="D634" t="str">
        <f>IF(B56="Smartphone",
"Apple",
IF(B56="Smartwatch",
"Apple",
IF(B56="Laptop",
"Lenovo",
IF(B56="Desktop PC",
"Apple",
IF(B56="Tablet",
"Apple",
IF(B56="Headphone",
"Sony",
IF(B56="Camera",
"Sony",
IF(B56="Printer",
"HP",
IF(B56="External Hard Disk",
"Seagate",
"Other")))))))))</f>
        <v>Lenovo</v>
      </c>
      <c r="E634" t="str">
        <f t="shared" si="37"/>
        <v>Savex Technologies</v>
      </c>
      <c r="F634">
        <f t="shared" si="38"/>
        <v>45000</v>
      </c>
      <c r="G634">
        <f t="shared" si="39"/>
        <v>49500.000000000007</v>
      </c>
    </row>
    <row r="635" spans="1:7" x14ac:dyDescent="0.25">
      <c r="A635" t="s">
        <v>634</v>
      </c>
      <c r="B635" t="s">
        <v>1002</v>
      </c>
      <c r="C635" t="str">
        <f t="shared" si="36"/>
        <v>Electronics (Computing Devices)</v>
      </c>
      <c r="D635" t="str">
        <f>IF(B57="Smartphone",
"Apple",
IF(B57="Smartwatch",
"Apple",
IF(B57="Laptop",
"Lenovo",
IF(B57="Desktop PC",
"Apple",
IF(B57="Tablet",
"Apple",
IF(B57="Headphone",
"Sony",
IF(B57="Camera",
"Sony",
IF(B57="Printer",
"HP",
IF(B57="External Hard Disk",
"Seagate",
"Other")))))))))</f>
        <v>Seagate</v>
      </c>
      <c r="E635" t="str">
        <f t="shared" si="37"/>
        <v>Ingram Micron India</v>
      </c>
      <c r="F635">
        <f t="shared" si="38"/>
        <v>35000</v>
      </c>
      <c r="G635">
        <f t="shared" si="39"/>
        <v>38500</v>
      </c>
    </row>
    <row r="636" spans="1:7" x14ac:dyDescent="0.25">
      <c r="A636" t="s">
        <v>635</v>
      </c>
      <c r="B636" t="s">
        <v>1002</v>
      </c>
      <c r="C636" t="str">
        <f t="shared" si="36"/>
        <v>Electronics (Computing Devices)</v>
      </c>
      <c r="D636" t="str">
        <f>IF(B58="Smartphone",
"Apple",
IF(B58="Smartwatch",
"Apple",
IF(B58="Laptop",
"Lenovo",
IF(B58="Desktop PC",
"Apple",
IF(B58="Tablet",
"Apple",
IF(B58="Headphone",
"Sony",
IF(B58="Camera",
"Sony",
IF(B58="Printer",
"HP",
IF(B58="External Hard Disk",
"Seagate",
"Other")))))))))</f>
        <v>Sony</v>
      </c>
      <c r="E636" t="str">
        <f t="shared" si="37"/>
        <v>Supertron Electronics</v>
      </c>
      <c r="F636">
        <f t="shared" si="38"/>
        <v>60000</v>
      </c>
      <c r="G636">
        <f t="shared" si="39"/>
        <v>66000</v>
      </c>
    </row>
    <row r="637" spans="1:7" x14ac:dyDescent="0.25">
      <c r="A637" t="s">
        <v>636</v>
      </c>
      <c r="B637" t="s">
        <v>1003</v>
      </c>
      <c r="C637" t="str">
        <f t="shared" si="36"/>
        <v>Electronics (Computing Devices)</v>
      </c>
      <c r="D637" t="str">
        <f>IF(B59="Smartphone",
"Apple",
IF(B59="Smartwatch",
"Apple",
IF(B59="Laptop",
"Lenovo",
IF(B59="Desktop PC",
"Apple",
IF(B59="Tablet",
"Apple",
IF(B59="Headphone",
"Sony",
IF(B59="Camera",
"Sony",
IF(B59="Printer",
"HP",
IF(B59="External Hard Disk",
"Seagate",
"Other")))))))))</f>
        <v>Other</v>
      </c>
      <c r="E637" t="str">
        <f t="shared" si="37"/>
        <v>Ingram Micron India</v>
      </c>
      <c r="F637">
        <f t="shared" si="38"/>
        <v>35000</v>
      </c>
      <c r="G637">
        <f t="shared" si="39"/>
        <v>38500</v>
      </c>
    </row>
    <row r="638" spans="1:7" x14ac:dyDescent="0.25">
      <c r="A638" t="s">
        <v>637</v>
      </c>
      <c r="B638" t="s">
        <v>1010</v>
      </c>
      <c r="C638" t="str">
        <f t="shared" si="36"/>
        <v>Office Equipments</v>
      </c>
      <c r="D638" t="str">
        <f>IF(B60="Smartphone",
"Apple",
IF(B60="Smartwatch",
"Apple",
IF(B60="Laptop",
"Lenovo",
IF(B60="Desktop PC",
"Apple",
IF(B60="Tablet",
"Apple",
IF(B60="Headphone",
"Sony",
IF(B60="Camera",
"Sony",
IF(B60="Printer",
"HP",
IF(B60="External Hard Disk",
"Seagate",
"Other")))))))))</f>
        <v>Apple</v>
      </c>
      <c r="E638" t="str">
        <f t="shared" si="37"/>
        <v>Redington India</v>
      </c>
      <c r="F638">
        <f t="shared" si="38"/>
        <v>40000</v>
      </c>
      <c r="G638">
        <f t="shared" si="39"/>
        <v>44000</v>
      </c>
    </row>
    <row r="639" spans="1:7" x14ac:dyDescent="0.25">
      <c r="A639" t="s">
        <v>638</v>
      </c>
      <c r="B639" t="s">
        <v>1005</v>
      </c>
      <c r="C639" t="str">
        <f t="shared" si="36"/>
        <v>Electronics (Computing Devices)</v>
      </c>
      <c r="D639" t="str">
        <f>IF(B61="Smartphone",
"Apple",
IF(B61="Smartwatch",
"Apple",
IF(B61="Laptop",
"Lenovo",
IF(B61="Desktop PC",
"Apple",
IF(B61="Tablet",
"Apple",
IF(B61="Headphone",
"Sony",
IF(B61="Camera",
"Sony",
IF(B61="Printer",
"HP",
IF(B61="External Hard Disk",
"Seagate",
"Other")))))))))</f>
        <v>Apple</v>
      </c>
      <c r="E639" t="str">
        <f t="shared" si="37"/>
        <v>Redington India</v>
      </c>
      <c r="F639">
        <f t="shared" si="38"/>
        <v>40000</v>
      </c>
      <c r="G639">
        <f t="shared" si="39"/>
        <v>44000</v>
      </c>
    </row>
    <row r="640" spans="1:7" x14ac:dyDescent="0.25">
      <c r="A640" t="s">
        <v>639</v>
      </c>
      <c r="B640" t="s">
        <v>1005</v>
      </c>
      <c r="C640" t="str">
        <f t="shared" si="36"/>
        <v>Electronics (Computing Devices)</v>
      </c>
      <c r="D640" t="str">
        <f>IF(B62="Smartphone",
"Apple",
IF(B62="Smartwatch",
"Apple",
IF(B62="Laptop",
"Lenovo",
IF(B62="Desktop PC",
"Apple",
IF(B62="Tablet",
"Apple",
IF(B62="Headphone",
"Sony",
IF(B62="Camera",
"Sony",
IF(B62="Printer",
"HP",
IF(B62="External Hard Disk",
"Seagate",
"Other")))))))))</f>
        <v>Apple</v>
      </c>
      <c r="E640" t="str">
        <f t="shared" si="37"/>
        <v>Redington India</v>
      </c>
      <c r="F640">
        <f t="shared" si="38"/>
        <v>40000</v>
      </c>
      <c r="G640">
        <f t="shared" si="39"/>
        <v>44000</v>
      </c>
    </row>
    <row r="641" spans="1:7" x14ac:dyDescent="0.25">
      <c r="A641" t="s">
        <v>640</v>
      </c>
      <c r="B641" t="s">
        <v>1007</v>
      </c>
      <c r="C641" t="str">
        <f t="shared" si="36"/>
        <v>Mobile and Wearables</v>
      </c>
      <c r="D641" t="str">
        <f>IF(B63="Smartphone",
"Apple",
IF(B63="Smartwatch",
"Apple",
IF(B63="Laptop",
"Lenovo",
IF(B63="Desktop PC",
"Apple",
IF(B63="Tablet",
"Apple",
IF(B63="Headphone",
"Sony",
IF(B63="Camera",
"Sony",
IF(B63="Printer",
"HP",
IF(B63="External Hard Disk",
"Seagate",
"Other")))))))))</f>
        <v>Seagate</v>
      </c>
      <c r="E641" t="str">
        <f t="shared" si="37"/>
        <v>Ingram Micron India</v>
      </c>
      <c r="F641">
        <f t="shared" si="38"/>
        <v>35000</v>
      </c>
      <c r="G641">
        <f t="shared" si="39"/>
        <v>38500</v>
      </c>
    </row>
    <row r="642" spans="1:7" x14ac:dyDescent="0.25">
      <c r="A642" t="s">
        <v>641</v>
      </c>
      <c r="B642" t="s">
        <v>1002</v>
      </c>
      <c r="C642" t="str">
        <f t="shared" si="36"/>
        <v>Electronics (Computing Devices)</v>
      </c>
      <c r="D642" t="str">
        <f>IF(B64="Smartphone",
"Apple",
IF(B64="Smartwatch",
"Apple",
IF(B64="Laptop",
"Lenovo",
IF(B64="Desktop PC",
"Apple",
IF(B64="Tablet",
"Apple",
IF(B64="Headphone",
"Sony",
IF(B64="Camera",
"Sony",
IF(B64="Printer",
"HP",
IF(B64="External Hard Disk",
"Seagate",
"Other")))))))))</f>
        <v>Apple</v>
      </c>
      <c r="E642" t="str">
        <f t="shared" si="37"/>
        <v>Redington India</v>
      </c>
      <c r="F642">
        <f t="shared" si="38"/>
        <v>40000</v>
      </c>
      <c r="G642">
        <f t="shared" si="39"/>
        <v>44000</v>
      </c>
    </row>
    <row r="643" spans="1:7" x14ac:dyDescent="0.25">
      <c r="A643" t="s">
        <v>642</v>
      </c>
      <c r="B643" t="s">
        <v>1009</v>
      </c>
      <c r="C643" t="str">
        <f t="shared" ref="C643:C706" si="40">IF(OR(B643="Laptop",B643="Desktop PC",B643="Tablet",B643="E-Reader"),
"Electronics (Computing Devices)",
IF(OR(B643="Smartphone",B643="Smartwatch"),
"Mobile and Wearables",
IF(B643="Headphone",
"Audio Devices",
IF(OR(B643="Printer",B643="Camera"),
"Office Equipments",
IF(B643="External Hard Disk",
"Storage Devices",
"Other")))))</f>
        <v>Office Equipments</v>
      </c>
      <c r="D643" t="str">
        <f>IF(B65="Smartphone",
"Apple",
IF(B65="Smartwatch",
"Apple",
IF(B65="Laptop",
"Lenovo",
IF(B65="Desktop PC",
"Apple",
IF(B65="Tablet",
"Apple",
IF(B65="Headphone",
"Sony",
IF(B65="Camera",
"Sony",
IF(B65="Printer",
"HP",
IF(B65="External Hard Disk",
"Seagate",
"Other")))))))))</f>
        <v>Apple</v>
      </c>
      <c r="E643" t="str">
        <f t="shared" ref="E643:E706" si="41">IF(D643="Apple",
"Redington India",
IF(D643="Samsung",
"Rashi Peripherals",
IF(D643="Sony",
"Supertron Electronics",
IF(OR(D643="Lenovo",D643="HP",D643="Dell"),
"Savex Technologies",
IF(C643="Printer",
"Rashi Peripherals",
IF(C643="Camera",
"Redington India",
IF(C643="External Hard Disk",
"Supertron Electronics",
"Ingram Micron India")))))))</f>
        <v>Redington India</v>
      </c>
      <c r="F643">
        <f t="shared" ref="F643:F706" si="42">IF(D643="Apple",
IF(C643="Smartphone",95000,
IF(C643="Tablet",75000,
IF(C643="Laptop",150000,
IF(C643="Smartwatch",90000,40000)))),
IF(D643="Samsung",
IF(C643="Smartphone",55000,
IF(C643="Tablet",40000,
IF(C643="Smartwatch",25000,30000))),
IF(D643="Lenovo",
IF(C643="Laptop",85000,
IF(C643="Desktop PC",70000,45000)),
IF(D643="HP",
IF(C643="Printer",30000,
IF(C643="Laptop",80000,40000)),
IF(D643="Sony",
IF(C643="Headphone",15000,
IF(C643="Camera",120000,60000)),
IF(C643="External Hard Disk",
IF(D643="Seagate",7000,
IF(D643="Western Digital",8000,7500)),
35000))))))</f>
        <v>40000</v>
      </c>
      <c r="G643">
        <f t="shared" ref="G643:G706" si="43">IF(C643="Smartphone",F643*1.1,
IF(C643="Laptop",F643*1.08,
IF(C643="Tablet",F643*1.12,
IF(C643="Smartwatch",F643*1.15,
IF(C643="Desktop PC",F643*1.07,
IF(C643="Printer",F643*1.18,
IF(C643="Camera",F643*1.12,
IF(C643="Headphone",F643*1.25,
IF(C643="External Hard Disk",F643*1.2,
F643*1.1)))))))))</f>
        <v>44000</v>
      </c>
    </row>
    <row r="644" spans="1:7" x14ac:dyDescent="0.25">
      <c r="A644" t="s">
        <v>643</v>
      </c>
      <c r="B644" t="s">
        <v>1004</v>
      </c>
      <c r="C644" t="str">
        <f t="shared" si="40"/>
        <v>Electronics (Computing Devices)</v>
      </c>
      <c r="D644" t="str">
        <f>IF(B66="Smartphone",
"Apple",
IF(B66="Smartwatch",
"Apple",
IF(B66="Laptop",
"Lenovo",
IF(B66="Desktop PC",
"Apple",
IF(B66="Tablet",
"Apple",
IF(B66="Headphone",
"Sony",
IF(B66="Camera",
"Sony",
IF(B66="Printer",
"HP",
IF(B66="External Hard Disk",
"Seagate",
"Other")))))))))</f>
        <v>Apple</v>
      </c>
      <c r="E644" t="str">
        <f t="shared" si="41"/>
        <v>Redington India</v>
      </c>
      <c r="F644">
        <f t="shared" si="42"/>
        <v>40000</v>
      </c>
      <c r="G644">
        <f t="shared" si="43"/>
        <v>44000</v>
      </c>
    </row>
    <row r="645" spans="1:7" x14ac:dyDescent="0.25">
      <c r="A645" t="s">
        <v>644</v>
      </c>
      <c r="B645" t="s">
        <v>1012</v>
      </c>
      <c r="C645" t="str">
        <f t="shared" si="40"/>
        <v>Audio Devices</v>
      </c>
      <c r="D645" t="str">
        <f>IF(B67="Smartphone",
"Apple",
IF(B67="Smartwatch",
"Apple",
IF(B67="Laptop",
"Lenovo",
IF(B67="Desktop PC",
"Apple",
IF(B67="Tablet",
"Apple",
IF(B67="Headphone",
"Sony",
IF(B67="Camera",
"Sony",
IF(B67="Printer",
"HP",
IF(B67="External Hard Disk",
"Seagate",
"Other")))))))))</f>
        <v>Other</v>
      </c>
      <c r="E645" t="str">
        <f t="shared" si="41"/>
        <v>Ingram Micron India</v>
      </c>
      <c r="F645">
        <f t="shared" si="42"/>
        <v>35000</v>
      </c>
      <c r="G645">
        <f t="shared" si="43"/>
        <v>38500</v>
      </c>
    </row>
    <row r="646" spans="1:7" x14ac:dyDescent="0.25">
      <c r="A646" t="s">
        <v>645</v>
      </c>
      <c r="B646" t="s">
        <v>1007</v>
      </c>
      <c r="C646" t="str">
        <f t="shared" si="40"/>
        <v>Mobile and Wearables</v>
      </c>
      <c r="D646" t="str">
        <f>IF(B68="Smartphone",
"Apple",
IF(B68="Smartwatch",
"Apple",
IF(B68="Laptop",
"Lenovo",
IF(B68="Desktop PC",
"Apple",
IF(B68="Tablet",
"Apple",
IF(B68="Headphone",
"Sony",
IF(B68="Camera",
"Sony",
IF(B68="Printer",
"HP",
IF(B68="External Hard Disk",
"Seagate",
"Other")))))))))</f>
        <v>Apple</v>
      </c>
      <c r="E646" t="str">
        <f t="shared" si="41"/>
        <v>Redington India</v>
      </c>
      <c r="F646">
        <f t="shared" si="42"/>
        <v>40000</v>
      </c>
      <c r="G646">
        <f t="shared" si="43"/>
        <v>44000</v>
      </c>
    </row>
    <row r="647" spans="1:7" x14ac:dyDescent="0.25">
      <c r="A647" t="s">
        <v>646</v>
      </c>
      <c r="B647" t="s">
        <v>1002</v>
      </c>
      <c r="C647" t="str">
        <f t="shared" si="40"/>
        <v>Electronics (Computing Devices)</v>
      </c>
      <c r="D647" t="str">
        <f>IF(B69="Smartphone",
"Apple",
IF(B69="Smartwatch",
"Apple",
IF(B69="Laptop",
"Lenovo",
IF(B69="Desktop PC",
"Apple",
IF(B69="Tablet",
"Apple",
IF(B69="Headphone",
"Sony",
IF(B69="Camera",
"Sony",
IF(B69="Printer",
"HP",
IF(B69="External Hard Disk",
"Seagate",
"Other")))))))))</f>
        <v>Seagate</v>
      </c>
      <c r="E647" t="str">
        <f t="shared" si="41"/>
        <v>Ingram Micron India</v>
      </c>
      <c r="F647">
        <f t="shared" si="42"/>
        <v>35000</v>
      </c>
      <c r="G647">
        <f t="shared" si="43"/>
        <v>38500</v>
      </c>
    </row>
    <row r="648" spans="1:7" x14ac:dyDescent="0.25">
      <c r="A648" t="s">
        <v>647</v>
      </c>
      <c r="B648" t="s">
        <v>1005</v>
      </c>
      <c r="C648" t="str">
        <f t="shared" si="40"/>
        <v>Electronics (Computing Devices)</v>
      </c>
      <c r="D648" t="str">
        <f>IF(B70="Smartphone",
"Apple",
IF(B70="Smartwatch",
"Apple",
IF(B70="Laptop",
"Lenovo",
IF(B70="Desktop PC",
"Apple",
IF(B70="Tablet",
"Apple",
IF(B70="Headphone",
"Sony",
IF(B70="Camera",
"Sony",
IF(B70="Printer",
"HP",
IF(B70="External Hard Disk",
"Seagate",
"Other")))))))))</f>
        <v>Apple</v>
      </c>
      <c r="E648" t="str">
        <f t="shared" si="41"/>
        <v>Redington India</v>
      </c>
      <c r="F648">
        <f t="shared" si="42"/>
        <v>40000</v>
      </c>
      <c r="G648">
        <f t="shared" si="43"/>
        <v>44000</v>
      </c>
    </row>
    <row r="649" spans="1:7" x14ac:dyDescent="0.25">
      <c r="A649" t="s">
        <v>648</v>
      </c>
      <c r="B649" t="s">
        <v>1005</v>
      </c>
      <c r="C649" t="str">
        <f t="shared" si="40"/>
        <v>Electronics (Computing Devices)</v>
      </c>
      <c r="D649" t="str">
        <f>IF(B71="Smartphone",
"Apple",
IF(B71="Smartwatch",
"Apple",
IF(B71="Laptop",
"Lenovo",
IF(B71="Desktop PC",
"Apple",
IF(B71="Tablet",
"Apple",
IF(B71="Headphone",
"Sony",
IF(B71="Camera",
"Sony",
IF(B71="Printer",
"HP",
IF(B71="External Hard Disk",
"Seagate",
"Other")))))))))</f>
        <v>Apple</v>
      </c>
      <c r="E649" t="str">
        <f t="shared" si="41"/>
        <v>Redington India</v>
      </c>
      <c r="F649">
        <f t="shared" si="42"/>
        <v>40000</v>
      </c>
      <c r="G649">
        <f t="shared" si="43"/>
        <v>44000</v>
      </c>
    </row>
    <row r="650" spans="1:7" x14ac:dyDescent="0.25">
      <c r="A650" t="s">
        <v>649</v>
      </c>
      <c r="B650" t="s">
        <v>1007</v>
      </c>
      <c r="C650" t="str">
        <f t="shared" si="40"/>
        <v>Mobile and Wearables</v>
      </c>
      <c r="D650" t="str">
        <f>IF(B72="Smartphone",
"Apple",
IF(B72="Smartwatch",
"Apple",
IF(B72="Laptop",
"Lenovo",
IF(B72="Desktop PC",
"Apple",
IF(B72="Tablet",
"Apple",
IF(B72="Headphone",
"Sony",
IF(B72="Camera",
"Sony",
IF(B72="Printer",
"HP",
IF(B72="External Hard Disk",
"Seagate",
"Other")))))))))</f>
        <v>Sony</v>
      </c>
      <c r="E650" t="str">
        <f t="shared" si="41"/>
        <v>Supertron Electronics</v>
      </c>
      <c r="F650">
        <f t="shared" si="42"/>
        <v>60000</v>
      </c>
      <c r="G650">
        <f t="shared" si="43"/>
        <v>66000</v>
      </c>
    </row>
    <row r="651" spans="1:7" x14ac:dyDescent="0.25">
      <c r="A651" t="s">
        <v>650</v>
      </c>
      <c r="B651" t="s">
        <v>1003</v>
      </c>
      <c r="C651" t="str">
        <f t="shared" si="40"/>
        <v>Electronics (Computing Devices)</v>
      </c>
      <c r="D651" t="str">
        <f>IF(B73="Smartphone",
"Apple",
IF(B73="Smartwatch",
"Apple",
IF(B73="Laptop",
"Lenovo",
IF(B73="Desktop PC",
"Apple",
IF(B73="Tablet",
"Apple",
IF(B73="Headphone",
"Sony",
IF(B73="Camera",
"Sony",
IF(B73="Printer",
"HP",
IF(B73="External Hard Disk",
"Seagate",
"Other")))))))))</f>
        <v>Sony</v>
      </c>
      <c r="E651" t="str">
        <f t="shared" si="41"/>
        <v>Supertron Electronics</v>
      </c>
      <c r="F651">
        <f t="shared" si="42"/>
        <v>60000</v>
      </c>
      <c r="G651">
        <f t="shared" si="43"/>
        <v>66000</v>
      </c>
    </row>
    <row r="652" spans="1:7" x14ac:dyDescent="0.25">
      <c r="A652" t="s">
        <v>651</v>
      </c>
      <c r="B652" t="s">
        <v>1004</v>
      </c>
      <c r="C652" t="str">
        <f t="shared" si="40"/>
        <v>Electronics (Computing Devices)</v>
      </c>
      <c r="D652" t="str">
        <f>IF(B74="Smartphone",
"Apple",
IF(B74="Smartwatch",
"Apple",
IF(B74="Laptop",
"Lenovo",
IF(B74="Desktop PC",
"Apple",
IF(B74="Tablet",
"Apple",
IF(B74="Headphone",
"Sony",
IF(B74="Camera",
"Sony",
IF(B74="Printer",
"HP",
IF(B74="External Hard Disk",
"Seagate",
"Other")))))))))</f>
        <v>HP</v>
      </c>
      <c r="E652" t="str">
        <f t="shared" si="41"/>
        <v>Savex Technologies</v>
      </c>
      <c r="F652">
        <f t="shared" si="42"/>
        <v>40000</v>
      </c>
      <c r="G652">
        <f t="shared" si="43"/>
        <v>44000</v>
      </c>
    </row>
    <row r="653" spans="1:7" x14ac:dyDescent="0.25">
      <c r="A653" t="s">
        <v>652</v>
      </c>
      <c r="B653" t="s">
        <v>1004</v>
      </c>
      <c r="C653" t="str">
        <f t="shared" si="40"/>
        <v>Electronics (Computing Devices)</v>
      </c>
      <c r="D653" t="str">
        <f>IF(B75="Smartphone",
"Apple",
IF(B75="Smartwatch",
"Apple",
IF(B75="Laptop",
"Lenovo",
IF(B75="Desktop PC",
"Apple",
IF(B75="Tablet",
"Apple",
IF(B75="Headphone",
"Sony",
IF(B75="Camera",
"Sony",
IF(B75="Printer",
"HP",
IF(B75="External Hard Disk",
"Seagate",
"Other")))))))))</f>
        <v>Other</v>
      </c>
      <c r="E653" t="str">
        <f t="shared" si="41"/>
        <v>Ingram Micron India</v>
      </c>
      <c r="F653">
        <f t="shared" si="42"/>
        <v>35000</v>
      </c>
      <c r="G653">
        <f t="shared" si="43"/>
        <v>38500</v>
      </c>
    </row>
    <row r="654" spans="1:7" x14ac:dyDescent="0.25">
      <c r="A654" t="s">
        <v>653</v>
      </c>
      <c r="B654" t="s">
        <v>1013</v>
      </c>
      <c r="C654" t="str">
        <f t="shared" si="40"/>
        <v>Storage Devices</v>
      </c>
      <c r="D654" t="str">
        <f>IF(B76="Smartphone",
"Apple",
IF(B76="Smartwatch",
"Apple",
IF(B76="Laptop",
"Lenovo",
IF(B76="Desktop PC",
"Apple",
IF(B76="Tablet",
"Apple",
IF(B76="Headphone",
"Sony",
IF(B76="Camera",
"Sony",
IF(B76="Printer",
"HP",
IF(B76="External Hard Disk",
"Seagate",
"Other")))))))))</f>
        <v>Other</v>
      </c>
      <c r="E654" t="str">
        <f t="shared" si="41"/>
        <v>Ingram Micron India</v>
      </c>
      <c r="F654">
        <f t="shared" si="42"/>
        <v>35000</v>
      </c>
      <c r="G654">
        <f t="shared" si="43"/>
        <v>38500</v>
      </c>
    </row>
    <row r="655" spans="1:7" x14ac:dyDescent="0.25">
      <c r="A655" t="s">
        <v>654</v>
      </c>
      <c r="B655" t="s">
        <v>1003</v>
      </c>
      <c r="C655" t="str">
        <f t="shared" si="40"/>
        <v>Electronics (Computing Devices)</v>
      </c>
      <c r="D655" t="str">
        <f>IF(B77="Smartphone",
"Apple",
IF(B77="Smartwatch",
"Apple",
IF(B77="Laptop",
"Lenovo",
IF(B77="Desktop PC",
"Apple",
IF(B77="Tablet",
"Apple",
IF(B77="Headphone",
"Sony",
IF(B77="Camera",
"Sony",
IF(B77="Printer",
"HP",
IF(B77="External Hard Disk",
"Seagate",
"Other")))))))))</f>
        <v>Other</v>
      </c>
      <c r="E655" t="str">
        <f t="shared" si="41"/>
        <v>Ingram Micron India</v>
      </c>
      <c r="F655">
        <f t="shared" si="42"/>
        <v>35000</v>
      </c>
      <c r="G655">
        <f t="shared" si="43"/>
        <v>38500</v>
      </c>
    </row>
    <row r="656" spans="1:7" x14ac:dyDescent="0.25">
      <c r="A656" t="s">
        <v>655</v>
      </c>
      <c r="B656" t="s">
        <v>1002</v>
      </c>
      <c r="C656" t="str">
        <f t="shared" si="40"/>
        <v>Electronics (Computing Devices)</v>
      </c>
      <c r="D656" t="str">
        <f>IF(B78="Smartphone",
"Apple",
IF(B78="Smartwatch",
"Apple",
IF(B78="Laptop",
"Lenovo",
IF(B78="Desktop PC",
"Apple",
IF(B78="Tablet",
"Apple",
IF(B78="Headphone",
"Sony",
IF(B78="Camera",
"Sony",
IF(B78="Printer",
"HP",
IF(B78="External Hard Disk",
"Seagate",
"Other")))))))))</f>
        <v>Apple</v>
      </c>
      <c r="E656" t="str">
        <f t="shared" si="41"/>
        <v>Redington India</v>
      </c>
      <c r="F656">
        <f t="shared" si="42"/>
        <v>40000</v>
      </c>
      <c r="G656">
        <f t="shared" si="43"/>
        <v>44000</v>
      </c>
    </row>
    <row r="657" spans="1:7" x14ac:dyDescent="0.25">
      <c r="A657" t="s">
        <v>656</v>
      </c>
      <c r="B657" t="s">
        <v>1003</v>
      </c>
      <c r="C657" t="str">
        <f t="shared" si="40"/>
        <v>Electronics (Computing Devices)</v>
      </c>
      <c r="D657" t="str">
        <f>IF(B79="Smartphone",
"Apple",
IF(B79="Smartwatch",
"Apple",
IF(B79="Laptop",
"Lenovo",
IF(B79="Desktop PC",
"Apple",
IF(B79="Tablet",
"Apple",
IF(B79="Headphone",
"Sony",
IF(B79="Camera",
"Sony",
IF(B79="Printer",
"HP",
IF(B79="External Hard Disk",
"Seagate",
"Other")))))))))</f>
        <v>Apple</v>
      </c>
      <c r="E657" t="str">
        <f t="shared" si="41"/>
        <v>Redington India</v>
      </c>
      <c r="F657">
        <f t="shared" si="42"/>
        <v>40000</v>
      </c>
      <c r="G657">
        <f t="shared" si="43"/>
        <v>44000</v>
      </c>
    </row>
    <row r="658" spans="1:7" x14ac:dyDescent="0.25">
      <c r="A658" t="s">
        <v>657</v>
      </c>
      <c r="B658" t="s">
        <v>1010</v>
      </c>
      <c r="C658" t="str">
        <f t="shared" si="40"/>
        <v>Office Equipments</v>
      </c>
      <c r="D658" t="str">
        <f>IF(B80="Smartphone",
"Apple",
IF(B80="Smartwatch",
"Apple",
IF(B80="Laptop",
"Lenovo",
IF(B80="Desktop PC",
"Apple",
IF(B80="Tablet",
"Apple",
IF(B80="Headphone",
"Sony",
IF(B80="Camera",
"Sony",
IF(B80="Printer",
"HP",
IF(B80="External Hard Disk",
"Seagate",
"Other")))))))))</f>
        <v>Apple</v>
      </c>
      <c r="E658" t="str">
        <f t="shared" si="41"/>
        <v>Redington India</v>
      </c>
      <c r="F658">
        <f t="shared" si="42"/>
        <v>40000</v>
      </c>
      <c r="G658">
        <f t="shared" si="43"/>
        <v>44000</v>
      </c>
    </row>
    <row r="659" spans="1:7" x14ac:dyDescent="0.25">
      <c r="A659" t="s">
        <v>658</v>
      </c>
      <c r="B659" t="s">
        <v>1002</v>
      </c>
      <c r="C659" t="str">
        <f t="shared" si="40"/>
        <v>Electronics (Computing Devices)</v>
      </c>
      <c r="D659" t="str">
        <f>IF(B81="Smartphone",
"Apple",
IF(B81="Smartwatch",
"Apple",
IF(B81="Laptop",
"Lenovo",
IF(B81="Desktop PC",
"Apple",
IF(B81="Tablet",
"Apple",
IF(B81="Headphone",
"Sony",
IF(B81="Camera",
"Sony",
IF(B81="Printer",
"HP",
IF(B81="External Hard Disk",
"Seagate",
"Other")))))))))</f>
        <v>Apple</v>
      </c>
      <c r="E659" t="str">
        <f t="shared" si="41"/>
        <v>Redington India</v>
      </c>
      <c r="F659">
        <f t="shared" si="42"/>
        <v>40000</v>
      </c>
      <c r="G659">
        <f t="shared" si="43"/>
        <v>44000</v>
      </c>
    </row>
    <row r="660" spans="1:7" x14ac:dyDescent="0.25">
      <c r="A660" t="s">
        <v>659</v>
      </c>
      <c r="B660" t="s">
        <v>1013</v>
      </c>
      <c r="C660" t="str">
        <f t="shared" si="40"/>
        <v>Storage Devices</v>
      </c>
      <c r="D660" t="str">
        <f>IF(B82="Smartphone",
"Apple",
IF(B82="Smartwatch",
"Apple",
IF(B82="Laptop",
"Lenovo",
IF(B82="Desktop PC",
"Apple",
IF(B82="Tablet",
"Apple",
IF(B82="Headphone",
"Sony",
IF(B82="Camera",
"Sony",
IF(B82="Printer",
"HP",
IF(B82="External Hard Disk",
"Seagate",
"Other")))))))))</f>
        <v>HP</v>
      </c>
      <c r="E660" t="str">
        <f t="shared" si="41"/>
        <v>Savex Technologies</v>
      </c>
      <c r="F660">
        <f t="shared" si="42"/>
        <v>40000</v>
      </c>
      <c r="G660">
        <f t="shared" si="43"/>
        <v>44000</v>
      </c>
    </row>
    <row r="661" spans="1:7" x14ac:dyDescent="0.25">
      <c r="A661" t="s">
        <v>660</v>
      </c>
      <c r="B661" t="s">
        <v>1012</v>
      </c>
      <c r="C661" t="str">
        <f t="shared" si="40"/>
        <v>Audio Devices</v>
      </c>
      <c r="D661" t="str">
        <f>IF(B83="Smartphone",
"Apple",
IF(B83="Smartwatch",
"Apple",
IF(B83="Laptop",
"Lenovo",
IF(B83="Desktop PC",
"Apple",
IF(B83="Tablet",
"Apple",
IF(B83="Headphone",
"Sony",
IF(B83="Camera",
"Sony",
IF(B83="Printer",
"HP",
IF(B83="External Hard Disk",
"Seagate",
"Other")))))))))</f>
        <v>Seagate</v>
      </c>
      <c r="E661" t="str">
        <f t="shared" si="41"/>
        <v>Ingram Micron India</v>
      </c>
      <c r="F661">
        <f t="shared" si="42"/>
        <v>35000</v>
      </c>
      <c r="G661">
        <f t="shared" si="43"/>
        <v>38500</v>
      </c>
    </row>
    <row r="662" spans="1:7" x14ac:dyDescent="0.25">
      <c r="A662" t="s">
        <v>661</v>
      </c>
      <c r="B662" t="s">
        <v>1007</v>
      </c>
      <c r="C662" t="str">
        <f t="shared" si="40"/>
        <v>Mobile and Wearables</v>
      </c>
      <c r="D662" t="str">
        <f>IF(B84="Smartphone",
"Apple",
IF(B84="Smartwatch",
"Apple",
IF(B84="Laptop",
"Lenovo",
IF(B84="Desktop PC",
"Apple",
IF(B84="Tablet",
"Apple",
IF(B84="Headphone",
"Sony",
IF(B84="Camera",
"Sony",
IF(B84="Printer",
"HP",
IF(B84="External Hard Disk",
"Seagate",
"Other")))))))))</f>
        <v>Seagate</v>
      </c>
      <c r="E662" t="str">
        <f t="shared" si="41"/>
        <v>Ingram Micron India</v>
      </c>
      <c r="F662">
        <f t="shared" si="42"/>
        <v>35000</v>
      </c>
      <c r="G662">
        <f t="shared" si="43"/>
        <v>38500</v>
      </c>
    </row>
    <row r="663" spans="1:7" x14ac:dyDescent="0.25">
      <c r="A663" t="s">
        <v>662</v>
      </c>
      <c r="B663" t="s">
        <v>1012</v>
      </c>
      <c r="C663" t="str">
        <f t="shared" si="40"/>
        <v>Audio Devices</v>
      </c>
      <c r="D663" t="str">
        <f>IF(B85="Smartphone",
"Apple",
IF(B85="Smartwatch",
"Apple",
IF(B85="Laptop",
"Lenovo",
IF(B85="Desktop PC",
"Apple",
IF(B85="Tablet",
"Apple",
IF(B85="Headphone",
"Sony",
IF(B85="Camera",
"Sony",
IF(B85="Printer",
"HP",
IF(B85="External Hard Disk",
"Seagate",
"Other")))))))))</f>
        <v>Lenovo</v>
      </c>
      <c r="E663" t="str">
        <f t="shared" si="41"/>
        <v>Savex Technologies</v>
      </c>
      <c r="F663">
        <f t="shared" si="42"/>
        <v>45000</v>
      </c>
      <c r="G663">
        <f t="shared" si="43"/>
        <v>49500.000000000007</v>
      </c>
    </row>
    <row r="664" spans="1:7" x14ac:dyDescent="0.25">
      <c r="A664" t="s">
        <v>663</v>
      </c>
      <c r="B664" t="s">
        <v>1013</v>
      </c>
      <c r="C664" t="str">
        <f t="shared" si="40"/>
        <v>Storage Devices</v>
      </c>
      <c r="D664" t="str">
        <f>IF(B86="Smartphone",
"Apple",
IF(B86="Smartwatch",
"Apple",
IF(B86="Laptop",
"Lenovo",
IF(B86="Desktop PC",
"Apple",
IF(B86="Tablet",
"Apple",
IF(B86="Headphone",
"Sony",
IF(B86="Camera",
"Sony",
IF(B86="Printer",
"HP",
IF(B86="External Hard Disk",
"Seagate",
"Other")))))))))</f>
        <v>HP</v>
      </c>
      <c r="E664" t="str">
        <f t="shared" si="41"/>
        <v>Savex Technologies</v>
      </c>
      <c r="F664">
        <f t="shared" si="42"/>
        <v>40000</v>
      </c>
      <c r="G664">
        <f t="shared" si="43"/>
        <v>44000</v>
      </c>
    </row>
    <row r="665" spans="1:7" x14ac:dyDescent="0.25">
      <c r="A665" t="s">
        <v>664</v>
      </c>
      <c r="B665" t="s">
        <v>1010</v>
      </c>
      <c r="C665" t="str">
        <f t="shared" si="40"/>
        <v>Office Equipments</v>
      </c>
      <c r="D665" t="str">
        <f>IF(B87="Smartphone",
"Apple",
IF(B87="Smartwatch",
"Apple",
IF(B87="Laptop",
"Lenovo",
IF(B87="Desktop PC",
"Apple",
IF(B87="Tablet",
"Apple",
IF(B87="Headphone",
"Sony",
IF(B87="Camera",
"Sony",
IF(B87="Printer",
"HP",
IF(B87="External Hard Disk",
"Seagate",
"Other")))))))))</f>
        <v>Apple</v>
      </c>
      <c r="E665" t="str">
        <f t="shared" si="41"/>
        <v>Redington India</v>
      </c>
      <c r="F665">
        <f t="shared" si="42"/>
        <v>40000</v>
      </c>
      <c r="G665">
        <f t="shared" si="43"/>
        <v>44000</v>
      </c>
    </row>
    <row r="666" spans="1:7" x14ac:dyDescent="0.25">
      <c r="A666" t="s">
        <v>665</v>
      </c>
      <c r="B666" t="s">
        <v>1002</v>
      </c>
      <c r="C666" t="str">
        <f t="shared" si="40"/>
        <v>Electronics (Computing Devices)</v>
      </c>
      <c r="D666" t="str">
        <f>IF(B88="Smartphone",
"Apple",
IF(B88="Smartwatch",
"Apple",
IF(B88="Laptop",
"Lenovo",
IF(B88="Desktop PC",
"Apple",
IF(B88="Tablet",
"Apple",
IF(B88="Headphone",
"Sony",
IF(B88="Camera",
"Sony",
IF(B88="Printer",
"HP",
IF(B88="External Hard Disk",
"Seagate",
"Other")))))))))</f>
        <v>Sony</v>
      </c>
      <c r="E666" t="str">
        <f t="shared" si="41"/>
        <v>Supertron Electronics</v>
      </c>
      <c r="F666">
        <f t="shared" si="42"/>
        <v>60000</v>
      </c>
      <c r="G666">
        <f t="shared" si="43"/>
        <v>66000</v>
      </c>
    </row>
    <row r="667" spans="1:7" x14ac:dyDescent="0.25">
      <c r="A667" t="s">
        <v>666</v>
      </c>
      <c r="B667" t="s">
        <v>1002</v>
      </c>
      <c r="C667" t="str">
        <f t="shared" si="40"/>
        <v>Electronics (Computing Devices)</v>
      </c>
      <c r="D667" t="str">
        <f>IF(B89="Smartphone",
"Apple",
IF(B89="Smartwatch",
"Apple",
IF(B89="Laptop",
"Lenovo",
IF(B89="Desktop PC",
"Apple",
IF(B89="Tablet",
"Apple",
IF(B89="Headphone",
"Sony",
IF(B89="Camera",
"Sony",
IF(B89="Printer",
"HP",
IF(B89="External Hard Disk",
"Seagate",
"Other")))))))))</f>
        <v>Other</v>
      </c>
      <c r="E667" t="str">
        <f t="shared" si="41"/>
        <v>Ingram Micron India</v>
      </c>
      <c r="F667">
        <f t="shared" si="42"/>
        <v>35000</v>
      </c>
      <c r="G667">
        <f t="shared" si="43"/>
        <v>38500</v>
      </c>
    </row>
    <row r="668" spans="1:7" x14ac:dyDescent="0.25">
      <c r="A668" t="s">
        <v>667</v>
      </c>
      <c r="B668" t="s">
        <v>1002</v>
      </c>
      <c r="C668" t="str">
        <f t="shared" si="40"/>
        <v>Electronics (Computing Devices)</v>
      </c>
      <c r="D668" t="str">
        <f>IF(B90="Smartphone",
"Apple",
IF(B90="Smartwatch",
"Apple",
IF(B90="Laptop",
"Lenovo",
IF(B90="Desktop PC",
"Apple",
IF(B90="Tablet",
"Apple",
IF(B90="Headphone",
"Sony",
IF(B90="Camera",
"Sony",
IF(B90="Printer",
"HP",
IF(B90="External Hard Disk",
"Seagate",
"Other")))))))))</f>
        <v>Apple</v>
      </c>
      <c r="E668" t="str">
        <f t="shared" si="41"/>
        <v>Redington India</v>
      </c>
      <c r="F668">
        <f t="shared" si="42"/>
        <v>40000</v>
      </c>
      <c r="G668">
        <f t="shared" si="43"/>
        <v>44000</v>
      </c>
    </row>
    <row r="669" spans="1:7" x14ac:dyDescent="0.25">
      <c r="A669" t="s">
        <v>668</v>
      </c>
      <c r="B669" t="s">
        <v>1001</v>
      </c>
      <c r="C669" t="str">
        <f t="shared" si="40"/>
        <v>Mobile and Wearables</v>
      </c>
      <c r="D669" t="str">
        <f>IF(B91="Smartphone",
"Apple",
IF(B91="Smartwatch",
"Apple",
IF(B91="Laptop",
"Lenovo",
IF(B91="Desktop PC",
"Apple",
IF(B91="Tablet",
"Apple",
IF(B91="Headphone",
"Sony",
IF(B91="Camera",
"Sony",
IF(B91="Printer",
"HP",
IF(B91="External Hard Disk",
"Seagate",
"Other")))))))))</f>
        <v>Apple</v>
      </c>
      <c r="E669" t="str">
        <f t="shared" si="41"/>
        <v>Redington India</v>
      </c>
      <c r="F669">
        <f t="shared" si="42"/>
        <v>40000</v>
      </c>
      <c r="G669">
        <f t="shared" si="43"/>
        <v>44000</v>
      </c>
    </row>
    <row r="670" spans="1:7" x14ac:dyDescent="0.25">
      <c r="A670" t="s">
        <v>669</v>
      </c>
      <c r="B670" t="s">
        <v>1001</v>
      </c>
      <c r="C670" t="str">
        <f t="shared" si="40"/>
        <v>Mobile and Wearables</v>
      </c>
      <c r="D670" t="str">
        <f>IF(B92="Smartphone",
"Apple",
IF(B92="Smartwatch",
"Apple",
IF(B92="Laptop",
"Lenovo",
IF(B92="Desktop PC",
"Apple",
IF(B92="Tablet",
"Apple",
IF(B92="Headphone",
"Sony",
IF(B92="Camera",
"Sony",
IF(B92="Printer",
"HP",
IF(B92="External Hard Disk",
"Seagate",
"Other")))))))))</f>
        <v>HP</v>
      </c>
      <c r="E670" t="str">
        <f t="shared" si="41"/>
        <v>Savex Technologies</v>
      </c>
      <c r="F670">
        <f t="shared" si="42"/>
        <v>40000</v>
      </c>
      <c r="G670">
        <f t="shared" si="43"/>
        <v>44000</v>
      </c>
    </row>
    <row r="671" spans="1:7" x14ac:dyDescent="0.25">
      <c r="A671" t="s">
        <v>670</v>
      </c>
      <c r="B671" t="s">
        <v>1009</v>
      </c>
      <c r="C671" t="str">
        <f t="shared" si="40"/>
        <v>Office Equipments</v>
      </c>
      <c r="D671" t="str">
        <f>IF(B93="Smartphone",
"Apple",
IF(B93="Smartwatch",
"Apple",
IF(B93="Laptop",
"Lenovo",
IF(B93="Desktop PC",
"Apple",
IF(B93="Tablet",
"Apple",
IF(B93="Headphone",
"Sony",
IF(B93="Camera",
"Sony",
IF(B93="Printer",
"HP",
IF(B93="External Hard Disk",
"Seagate",
"Other")))))))))</f>
        <v>Lenovo</v>
      </c>
      <c r="E671" t="str">
        <f t="shared" si="41"/>
        <v>Savex Technologies</v>
      </c>
      <c r="F671">
        <f t="shared" si="42"/>
        <v>45000</v>
      </c>
      <c r="G671">
        <f t="shared" si="43"/>
        <v>49500.000000000007</v>
      </c>
    </row>
    <row r="672" spans="1:7" x14ac:dyDescent="0.25">
      <c r="A672" t="s">
        <v>671</v>
      </c>
      <c r="B672" t="s">
        <v>1012</v>
      </c>
      <c r="C672" t="str">
        <f t="shared" si="40"/>
        <v>Audio Devices</v>
      </c>
      <c r="D672" t="str">
        <f>IF(B94="Smartphone",
"Apple",
IF(B94="Smartwatch",
"Apple",
IF(B94="Laptop",
"Lenovo",
IF(B94="Desktop PC",
"Apple",
IF(B94="Tablet",
"Apple",
IF(B94="Headphone",
"Sony",
IF(B94="Camera",
"Sony",
IF(B94="Printer",
"HP",
IF(B94="External Hard Disk",
"Seagate",
"Other")))))))))</f>
        <v>Seagate</v>
      </c>
      <c r="E672" t="str">
        <f t="shared" si="41"/>
        <v>Ingram Micron India</v>
      </c>
      <c r="F672">
        <f t="shared" si="42"/>
        <v>35000</v>
      </c>
      <c r="G672">
        <f t="shared" si="43"/>
        <v>38500</v>
      </c>
    </row>
    <row r="673" spans="1:7" x14ac:dyDescent="0.25">
      <c r="A673" t="s">
        <v>672</v>
      </c>
      <c r="B673" t="s">
        <v>1005</v>
      </c>
      <c r="C673" t="str">
        <f t="shared" si="40"/>
        <v>Electronics (Computing Devices)</v>
      </c>
      <c r="D673" t="str">
        <f>IF(B95="Smartphone",
"Apple",
IF(B95="Smartwatch",
"Apple",
IF(B95="Laptop",
"Lenovo",
IF(B95="Desktop PC",
"Apple",
IF(B95="Tablet",
"Apple",
IF(B95="Headphone",
"Sony",
IF(B95="Camera",
"Sony",
IF(B95="Printer",
"HP",
IF(B95="External Hard Disk",
"Seagate",
"Other")))))))))</f>
        <v>HP</v>
      </c>
      <c r="E673" t="str">
        <f t="shared" si="41"/>
        <v>Savex Technologies</v>
      </c>
      <c r="F673">
        <f t="shared" si="42"/>
        <v>40000</v>
      </c>
      <c r="G673">
        <f t="shared" si="43"/>
        <v>44000</v>
      </c>
    </row>
    <row r="674" spans="1:7" x14ac:dyDescent="0.25">
      <c r="A674" t="s">
        <v>673</v>
      </c>
      <c r="B674" t="s">
        <v>1009</v>
      </c>
      <c r="C674" t="str">
        <f t="shared" si="40"/>
        <v>Office Equipments</v>
      </c>
      <c r="D674" t="str">
        <f>IF(B96="Smartphone",
"Apple",
IF(B96="Smartwatch",
"Apple",
IF(B96="Laptop",
"Lenovo",
IF(B96="Desktop PC",
"Apple",
IF(B96="Tablet",
"Apple",
IF(B96="Headphone",
"Sony",
IF(B96="Camera",
"Sony",
IF(B96="Printer",
"HP",
IF(B96="External Hard Disk",
"Seagate",
"Other")))))))))</f>
        <v>HP</v>
      </c>
      <c r="E674" t="str">
        <f t="shared" si="41"/>
        <v>Savex Technologies</v>
      </c>
      <c r="F674">
        <f t="shared" si="42"/>
        <v>40000</v>
      </c>
      <c r="G674">
        <f t="shared" si="43"/>
        <v>44000</v>
      </c>
    </row>
    <row r="675" spans="1:7" x14ac:dyDescent="0.25">
      <c r="A675" t="s">
        <v>674</v>
      </c>
      <c r="B675" t="s">
        <v>1002</v>
      </c>
      <c r="C675" t="str">
        <f t="shared" si="40"/>
        <v>Electronics (Computing Devices)</v>
      </c>
      <c r="D675" t="str">
        <f>IF(B97="Smartphone",
"Apple",
IF(B97="Smartwatch",
"Apple",
IF(B97="Laptop",
"Lenovo",
IF(B97="Desktop PC",
"Apple",
IF(B97="Tablet",
"Apple",
IF(B97="Headphone",
"Sony",
IF(B97="Camera",
"Sony",
IF(B97="Printer",
"HP",
IF(B97="External Hard Disk",
"Seagate",
"Other")))))))))</f>
        <v>HP</v>
      </c>
      <c r="E675" t="str">
        <f t="shared" si="41"/>
        <v>Savex Technologies</v>
      </c>
      <c r="F675">
        <f t="shared" si="42"/>
        <v>40000</v>
      </c>
      <c r="G675">
        <f t="shared" si="43"/>
        <v>44000</v>
      </c>
    </row>
    <row r="676" spans="1:7" x14ac:dyDescent="0.25">
      <c r="A676" t="s">
        <v>675</v>
      </c>
      <c r="B676" t="s">
        <v>1007</v>
      </c>
      <c r="C676" t="str">
        <f t="shared" si="40"/>
        <v>Mobile and Wearables</v>
      </c>
      <c r="D676" t="str">
        <f>IF(B98="Smartphone",
"Apple",
IF(B98="Smartwatch",
"Apple",
IF(B98="Laptop",
"Lenovo",
IF(B98="Desktop PC",
"Apple",
IF(B98="Tablet",
"Apple",
IF(B98="Headphone",
"Sony",
IF(B98="Camera",
"Sony",
IF(B98="Printer",
"HP",
IF(B98="External Hard Disk",
"Seagate",
"Other")))))))))</f>
        <v>Apple</v>
      </c>
      <c r="E676" t="str">
        <f t="shared" si="41"/>
        <v>Redington India</v>
      </c>
      <c r="F676">
        <f t="shared" si="42"/>
        <v>40000</v>
      </c>
      <c r="G676">
        <f t="shared" si="43"/>
        <v>44000</v>
      </c>
    </row>
    <row r="677" spans="1:7" x14ac:dyDescent="0.25">
      <c r="A677" t="s">
        <v>676</v>
      </c>
      <c r="B677" t="s">
        <v>1004</v>
      </c>
      <c r="C677" t="str">
        <f t="shared" si="40"/>
        <v>Electronics (Computing Devices)</v>
      </c>
      <c r="D677" t="str">
        <f>IF(B99="Smartphone",
"Apple",
IF(B99="Smartwatch",
"Apple",
IF(B99="Laptop",
"Lenovo",
IF(B99="Desktop PC",
"Apple",
IF(B99="Tablet",
"Apple",
IF(B99="Headphone",
"Sony",
IF(B99="Camera",
"Sony",
IF(B99="Printer",
"HP",
IF(B99="External Hard Disk",
"Seagate",
"Other")))))))))</f>
        <v>Sony</v>
      </c>
      <c r="E677" t="str">
        <f t="shared" si="41"/>
        <v>Supertron Electronics</v>
      </c>
      <c r="F677">
        <f t="shared" si="42"/>
        <v>60000</v>
      </c>
      <c r="G677">
        <f t="shared" si="43"/>
        <v>66000</v>
      </c>
    </row>
    <row r="678" spans="1:7" x14ac:dyDescent="0.25">
      <c r="A678" t="s">
        <v>677</v>
      </c>
      <c r="B678" t="s">
        <v>1013</v>
      </c>
      <c r="C678" t="str">
        <f t="shared" si="40"/>
        <v>Storage Devices</v>
      </c>
      <c r="D678" t="str">
        <f>IF(B100="Smartphone",
"Apple",
IF(B100="Smartwatch",
"Apple",
IF(B100="Laptop",
"Lenovo",
IF(B100="Desktop PC",
"Apple",
IF(B100="Tablet",
"Apple",
IF(B100="Headphone",
"Sony",
IF(B100="Camera",
"Sony",
IF(B100="Printer",
"HP",
IF(B100="External Hard Disk",
"Seagate",
"Other")))))))))</f>
        <v>Apple</v>
      </c>
      <c r="E678" t="str">
        <f t="shared" si="41"/>
        <v>Redington India</v>
      </c>
      <c r="F678">
        <f t="shared" si="42"/>
        <v>40000</v>
      </c>
      <c r="G678">
        <f t="shared" si="43"/>
        <v>44000</v>
      </c>
    </row>
    <row r="679" spans="1:7" x14ac:dyDescent="0.25">
      <c r="A679" t="s">
        <v>678</v>
      </c>
      <c r="B679" t="s">
        <v>1009</v>
      </c>
      <c r="C679" t="str">
        <f t="shared" si="40"/>
        <v>Office Equipments</v>
      </c>
      <c r="D679" t="str">
        <f>IF(B101="Smartphone",
"Apple",
IF(B101="Smartwatch",
"Apple",
IF(B101="Laptop",
"Lenovo",
IF(B101="Desktop PC",
"Apple",
IF(B101="Tablet",
"Apple",
IF(B101="Headphone",
"Sony",
IF(B101="Camera",
"Sony",
IF(B101="Printer",
"HP",
IF(B101="External Hard Disk",
"Seagate",
"Other")))))))))</f>
        <v>Sony</v>
      </c>
      <c r="E679" t="str">
        <f t="shared" si="41"/>
        <v>Supertron Electronics</v>
      </c>
      <c r="F679">
        <f t="shared" si="42"/>
        <v>60000</v>
      </c>
      <c r="G679">
        <f t="shared" si="43"/>
        <v>66000</v>
      </c>
    </row>
    <row r="680" spans="1:7" x14ac:dyDescent="0.25">
      <c r="A680" t="s">
        <v>679</v>
      </c>
      <c r="B680" t="s">
        <v>1007</v>
      </c>
      <c r="C680" t="str">
        <f t="shared" si="40"/>
        <v>Mobile and Wearables</v>
      </c>
      <c r="D680" t="str">
        <f>IF(B102="Smartphone",
"Apple",
IF(B102="Smartwatch",
"Apple",
IF(B102="Laptop",
"Lenovo",
IF(B102="Desktop PC",
"Apple",
IF(B102="Tablet",
"Apple",
IF(B102="Headphone",
"Sony",
IF(B102="Camera",
"Sony",
IF(B102="Printer",
"HP",
IF(B102="External Hard Disk",
"Seagate",
"Other")))))))))</f>
        <v>Sony</v>
      </c>
      <c r="E680" t="str">
        <f t="shared" si="41"/>
        <v>Supertron Electronics</v>
      </c>
      <c r="F680">
        <f t="shared" si="42"/>
        <v>60000</v>
      </c>
      <c r="G680">
        <f t="shared" si="43"/>
        <v>66000</v>
      </c>
    </row>
    <row r="681" spans="1:7" x14ac:dyDescent="0.25">
      <c r="A681" t="s">
        <v>680</v>
      </c>
      <c r="B681" t="s">
        <v>1007</v>
      </c>
      <c r="C681" t="str">
        <f t="shared" si="40"/>
        <v>Mobile and Wearables</v>
      </c>
      <c r="D681" t="str">
        <f>IF(B103="Smartphone",
"Apple",
IF(B103="Smartwatch",
"Apple",
IF(B103="Laptop",
"Lenovo",
IF(B103="Desktop PC",
"Apple",
IF(B103="Tablet",
"Apple",
IF(B103="Headphone",
"Sony",
IF(B103="Camera",
"Sony",
IF(B103="Printer",
"HP",
IF(B103="External Hard Disk",
"Seagate",
"Other")))))))))</f>
        <v>Apple</v>
      </c>
      <c r="E681" t="str">
        <f t="shared" si="41"/>
        <v>Redington India</v>
      </c>
      <c r="F681">
        <f t="shared" si="42"/>
        <v>40000</v>
      </c>
      <c r="G681">
        <f t="shared" si="43"/>
        <v>44000</v>
      </c>
    </row>
    <row r="682" spans="1:7" x14ac:dyDescent="0.25">
      <c r="A682" t="s">
        <v>681</v>
      </c>
      <c r="B682" t="s">
        <v>1012</v>
      </c>
      <c r="C682" t="str">
        <f t="shared" si="40"/>
        <v>Audio Devices</v>
      </c>
      <c r="D682" t="str">
        <f>IF(B104="Smartphone",
"Apple",
IF(B104="Smartwatch",
"Apple",
IF(B104="Laptop",
"Lenovo",
IF(B104="Desktop PC",
"Apple",
IF(B104="Tablet",
"Apple",
IF(B104="Headphone",
"Sony",
IF(B104="Camera",
"Sony",
IF(B104="Printer",
"HP",
IF(B104="External Hard Disk",
"Seagate",
"Other")))))))))</f>
        <v>Apple</v>
      </c>
      <c r="E682" t="str">
        <f t="shared" si="41"/>
        <v>Redington India</v>
      </c>
      <c r="F682">
        <f t="shared" si="42"/>
        <v>40000</v>
      </c>
      <c r="G682">
        <f t="shared" si="43"/>
        <v>44000</v>
      </c>
    </row>
    <row r="683" spans="1:7" x14ac:dyDescent="0.25">
      <c r="A683" t="s">
        <v>682</v>
      </c>
      <c r="B683" t="s">
        <v>1001</v>
      </c>
      <c r="C683" t="str">
        <f t="shared" si="40"/>
        <v>Mobile and Wearables</v>
      </c>
      <c r="D683" t="str">
        <f>IF(B105="Smartphone",
"Apple",
IF(B105="Smartwatch",
"Apple",
IF(B105="Laptop",
"Lenovo",
IF(B105="Desktop PC",
"Apple",
IF(B105="Tablet",
"Apple",
IF(B105="Headphone",
"Sony",
IF(B105="Camera",
"Sony",
IF(B105="Printer",
"HP",
IF(B105="External Hard Disk",
"Seagate",
"Other")))))))))</f>
        <v>Seagate</v>
      </c>
      <c r="E683" t="str">
        <f t="shared" si="41"/>
        <v>Ingram Micron India</v>
      </c>
      <c r="F683">
        <f t="shared" si="42"/>
        <v>35000</v>
      </c>
      <c r="G683">
        <f t="shared" si="43"/>
        <v>38500</v>
      </c>
    </row>
    <row r="684" spans="1:7" x14ac:dyDescent="0.25">
      <c r="A684" t="s">
        <v>683</v>
      </c>
      <c r="B684" t="s">
        <v>1009</v>
      </c>
      <c r="C684" t="str">
        <f t="shared" si="40"/>
        <v>Office Equipments</v>
      </c>
      <c r="D684" t="str">
        <f>IF(B106="Smartphone",
"Apple",
IF(B106="Smartwatch",
"Apple",
IF(B106="Laptop",
"Lenovo",
IF(B106="Desktop PC",
"Apple",
IF(B106="Tablet",
"Apple",
IF(B106="Headphone",
"Sony",
IF(B106="Camera",
"Sony",
IF(B106="Printer",
"HP",
IF(B106="External Hard Disk",
"Seagate",
"Other")))))))))</f>
        <v>Other</v>
      </c>
      <c r="E684" t="str">
        <f t="shared" si="41"/>
        <v>Ingram Micron India</v>
      </c>
      <c r="F684">
        <f t="shared" si="42"/>
        <v>35000</v>
      </c>
      <c r="G684">
        <f t="shared" si="43"/>
        <v>38500</v>
      </c>
    </row>
    <row r="685" spans="1:7" x14ac:dyDescent="0.25">
      <c r="A685" t="s">
        <v>684</v>
      </c>
      <c r="B685" t="s">
        <v>1002</v>
      </c>
      <c r="C685" t="str">
        <f t="shared" si="40"/>
        <v>Electronics (Computing Devices)</v>
      </c>
      <c r="D685" t="str">
        <f>IF(B107="Smartphone",
"Apple",
IF(B107="Smartwatch",
"Apple",
IF(B107="Laptop",
"Lenovo",
IF(B107="Desktop PC",
"Apple",
IF(B107="Tablet",
"Apple",
IF(B107="Headphone",
"Sony",
IF(B107="Camera",
"Sony",
IF(B107="Printer",
"HP",
IF(B107="External Hard Disk",
"Seagate",
"Other")))))))))</f>
        <v>Sony</v>
      </c>
      <c r="E685" t="str">
        <f t="shared" si="41"/>
        <v>Supertron Electronics</v>
      </c>
      <c r="F685">
        <f t="shared" si="42"/>
        <v>60000</v>
      </c>
      <c r="G685">
        <f t="shared" si="43"/>
        <v>66000</v>
      </c>
    </row>
    <row r="686" spans="1:7" x14ac:dyDescent="0.25">
      <c r="A686" t="s">
        <v>685</v>
      </c>
      <c r="B686" t="s">
        <v>1010</v>
      </c>
      <c r="C686" t="str">
        <f t="shared" si="40"/>
        <v>Office Equipments</v>
      </c>
      <c r="D686" t="str">
        <f>IF(B108="Smartphone",
"Apple",
IF(B108="Smartwatch",
"Apple",
IF(B108="Laptop",
"Lenovo",
IF(B108="Desktop PC",
"Apple",
IF(B108="Tablet",
"Apple",
IF(B108="Headphone",
"Sony",
IF(B108="Camera",
"Sony",
IF(B108="Printer",
"HP",
IF(B108="External Hard Disk",
"Seagate",
"Other")))))))))</f>
        <v>Apple</v>
      </c>
      <c r="E686" t="str">
        <f t="shared" si="41"/>
        <v>Redington India</v>
      </c>
      <c r="F686">
        <f t="shared" si="42"/>
        <v>40000</v>
      </c>
      <c r="G686">
        <f t="shared" si="43"/>
        <v>44000</v>
      </c>
    </row>
    <row r="687" spans="1:7" x14ac:dyDescent="0.25">
      <c r="A687" t="s">
        <v>686</v>
      </c>
      <c r="B687" t="s">
        <v>1002</v>
      </c>
      <c r="C687" t="str">
        <f t="shared" si="40"/>
        <v>Electronics (Computing Devices)</v>
      </c>
      <c r="D687" t="str">
        <f>IF(B109="Smartphone",
"Apple",
IF(B109="Smartwatch",
"Apple",
IF(B109="Laptop",
"Lenovo",
IF(B109="Desktop PC",
"Apple",
IF(B109="Tablet",
"Apple",
IF(B109="Headphone",
"Sony",
IF(B109="Camera",
"Sony",
IF(B109="Printer",
"HP",
IF(B109="External Hard Disk",
"Seagate",
"Other")))))))))</f>
        <v>Apple</v>
      </c>
      <c r="E687" t="str">
        <f t="shared" si="41"/>
        <v>Redington India</v>
      </c>
      <c r="F687">
        <f t="shared" si="42"/>
        <v>40000</v>
      </c>
      <c r="G687">
        <f t="shared" si="43"/>
        <v>44000</v>
      </c>
    </row>
    <row r="688" spans="1:7" x14ac:dyDescent="0.25">
      <c r="A688" t="s">
        <v>687</v>
      </c>
      <c r="B688" t="s">
        <v>1004</v>
      </c>
      <c r="C688" t="str">
        <f t="shared" si="40"/>
        <v>Electronics (Computing Devices)</v>
      </c>
      <c r="D688" t="str">
        <f>IF(B110="Smartphone",
"Apple",
IF(B110="Smartwatch",
"Apple",
IF(B110="Laptop",
"Lenovo",
IF(B110="Desktop PC",
"Apple",
IF(B110="Tablet",
"Apple",
IF(B110="Headphone",
"Sony",
IF(B110="Camera",
"Sony",
IF(B110="Printer",
"HP",
IF(B110="External Hard Disk",
"Seagate",
"Other")))))))))</f>
        <v>Sony</v>
      </c>
      <c r="E688" t="str">
        <f t="shared" si="41"/>
        <v>Supertron Electronics</v>
      </c>
      <c r="F688">
        <f t="shared" si="42"/>
        <v>60000</v>
      </c>
      <c r="G688">
        <f t="shared" si="43"/>
        <v>66000</v>
      </c>
    </row>
    <row r="689" spans="1:7" x14ac:dyDescent="0.25">
      <c r="A689" t="s">
        <v>688</v>
      </c>
      <c r="B689" t="s">
        <v>1013</v>
      </c>
      <c r="C689" t="str">
        <f t="shared" si="40"/>
        <v>Storage Devices</v>
      </c>
      <c r="D689" t="str">
        <f>IF(B111="Smartphone",
"Apple",
IF(B111="Smartwatch",
"Apple",
IF(B111="Laptop",
"Lenovo",
IF(B111="Desktop PC",
"Apple",
IF(B111="Tablet",
"Apple",
IF(B111="Headphone",
"Sony",
IF(B111="Camera",
"Sony",
IF(B111="Printer",
"HP",
IF(B111="External Hard Disk",
"Seagate",
"Other")))))))))</f>
        <v>Seagate</v>
      </c>
      <c r="E689" t="str">
        <f t="shared" si="41"/>
        <v>Ingram Micron India</v>
      </c>
      <c r="F689">
        <f t="shared" si="42"/>
        <v>35000</v>
      </c>
      <c r="G689">
        <f t="shared" si="43"/>
        <v>38500</v>
      </c>
    </row>
    <row r="690" spans="1:7" x14ac:dyDescent="0.25">
      <c r="A690" t="s">
        <v>689</v>
      </c>
      <c r="B690" t="s">
        <v>1004</v>
      </c>
      <c r="C690" t="str">
        <f t="shared" si="40"/>
        <v>Electronics (Computing Devices)</v>
      </c>
      <c r="D690" t="str">
        <f>IF(B112="Smartphone",
"Apple",
IF(B112="Smartwatch",
"Apple",
IF(B112="Laptop",
"Lenovo",
IF(B112="Desktop PC",
"Apple",
IF(B112="Tablet",
"Apple",
IF(B112="Headphone",
"Sony",
IF(B112="Camera",
"Sony",
IF(B112="Printer",
"HP",
IF(B112="External Hard Disk",
"Seagate",
"Other")))))))))</f>
        <v>Apple</v>
      </c>
      <c r="E690" t="str">
        <f t="shared" si="41"/>
        <v>Redington India</v>
      </c>
      <c r="F690">
        <f t="shared" si="42"/>
        <v>40000</v>
      </c>
      <c r="G690">
        <f t="shared" si="43"/>
        <v>44000</v>
      </c>
    </row>
    <row r="691" spans="1:7" x14ac:dyDescent="0.25">
      <c r="A691" t="s">
        <v>690</v>
      </c>
      <c r="B691" t="s">
        <v>1003</v>
      </c>
      <c r="C691" t="str">
        <f t="shared" si="40"/>
        <v>Electronics (Computing Devices)</v>
      </c>
      <c r="D691" t="str">
        <f>IF(B113="Smartphone",
"Apple",
IF(B113="Smartwatch",
"Apple",
IF(B113="Laptop",
"Lenovo",
IF(B113="Desktop PC",
"Apple",
IF(B113="Tablet",
"Apple",
IF(B113="Headphone",
"Sony",
IF(B113="Camera",
"Sony",
IF(B113="Printer",
"HP",
IF(B113="External Hard Disk",
"Seagate",
"Other")))))))))</f>
        <v>Apple</v>
      </c>
      <c r="E691" t="str">
        <f t="shared" si="41"/>
        <v>Redington India</v>
      </c>
      <c r="F691">
        <f t="shared" si="42"/>
        <v>40000</v>
      </c>
      <c r="G691">
        <f t="shared" si="43"/>
        <v>44000</v>
      </c>
    </row>
    <row r="692" spans="1:7" x14ac:dyDescent="0.25">
      <c r="A692" t="s">
        <v>691</v>
      </c>
      <c r="B692" t="s">
        <v>1004</v>
      </c>
      <c r="C692" t="str">
        <f t="shared" si="40"/>
        <v>Electronics (Computing Devices)</v>
      </c>
      <c r="D692" t="str">
        <f>IF(B114="Smartphone",
"Apple",
IF(B114="Smartwatch",
"Apple",
IF(B114="Laptop",
"Lenovo",
IF(B114="Desktop PC",
"Apple",
IF(B114="Tablet",
"Apple",
IF(B114="Headphone",
"Sony",
IF(B114="Camera",
"Sony",
IF(B114="Printer",
"HP",
IF(B114="External Hard Disk",
"Seagate",
"Other")))))))))</f>
        <v>Apple</v>
      </c>
      <c r="E692" t="str">
        <f t="shared" si="41"/>
        <v>Redington India</v>
      </c>
      <c r="F692">
        <f t="shared" si="42"/>
        <v>40000</v>
      </c>
      <c r="G692">
        <f t="shared" si="43"/>
        <v>44000</v>
      </c>
    </row>
    <row r="693" spans="1:7" x14ac:dyDescent="0.25">
      <c r="A693" t="s">
        <v>692</v>
      </c>
      <c r="B693" t="s">
        <v>1010</v>
      </c>
      <c r="C693" t="str">
        <f t="shared" si="40"/>
        <v>Office Equipments</v>
      </c>
      <c r="D693" t="str">
        <f>IF(B115="Smartphone",
"Apple",
IF(B115="Smartwatch",
"Apple",
IF(B115="Laptop",
"Lenovo",
IF(B115="Desktop PC",
"Apple",
IF(B115="Tablet",
"Apple",
IF(B115="Headphone",
"Sony",
IF(B115="Camera",
"Sony",
IF(B115="Printer",
"HP",
IF(B115="External Hard Disk",
"Seagate",
"Other")))))))))</f>
        <v>Apple</v>
      </c>
      <c r="E693" t="str">
        <f t="shared" si="41"/>
        <v>Redington India</v>
      </c>
      <c r="F693">
        <f t="shared" si="42"/>
        <v>40000</v>
      </c>
      <c r="G693">
        <f t="shared" si="43"/>
        <v>44000</v>
      </c>
    </row>
    <row r="694" spans="1:7" x14ac:dyDescent="0.25">
      <c r="A694" t="s">
        <v>693</v>
      </c>
      <c r="B694" t="s">
        <v>1003</v>
      </c>
      <c r="C694" t="str">
        <f t="shared" si="40"/>
        <v>Electronics (Computing Devices)</v>
      </c>
      <c r="D694" t="str">
        <f>IF(B116="Smartphone",
"Apple",
IF(B116="Smartwatch",
"Apple",
IF(B116="Laptop",
"Lenovo",
IF(B116="Desktop PC",
"Apple",
IF(B116="Tablet",
"Apple",
IF(B116="Headphone",
"Sony",
IF(B116="Camera",
"Sony",
IF(B116="Printer",
"HP",
IF(B116="External Hard Disk",
"Seagate",
"Other")))))))))</f>
        <v>Other</v>
      </c>
      <c r="E694" t="str">
        <f t="shared" si="41"/>
        <v>Ingram Micron India</v>
      </c>
      <c r="F694">
        <f t="shared" si="42"/>
        <v>35000</v>
      </c>
      <c r="G694">
        <f t="shared" si="43"/>
        <v>38500</v>
      </c>
    </row>
    <row r="695" spans="1:7" x14ac:dyDescent="0.25">
      <c r="A695" t="s">
        <v>694</v>
      </c>
      <c r="B695" t="s">
        <v>1004</v>
      </c>
      <c r="C695" t="str">
        <f t="shared" si="40"/>
        <v>Electronics (Computing Devices)</v>
      </c>
      <c r="D695" t="str">
        <f>IF(B117="Smartphone",
"Apple",
IF(B117="Smartwatch",
"Apple",
IF(B117="Laptop",
"Lenovo",
IF(B117="Desktop PC",
"Apple",
IF(B117="Tablet",
"Apple",
IF(B117="Headphone",
"Sony",
IF(B117="Camera",
"Sony",
IF(B117="Printer",
"HP",
IF(B117="External Hard Disk",
"Seagate",
"Other")))))))))</f>
        <v>Apple</v>
      </c>
      <c r="E695" t="str">
        <f t="shared" si="41"/>
        <v>Redington India</v>
      </c>
      <c r="F695">
        <f t="shared" si="42"/>
        <v>40000</v>
      </c>
      <c r="G695">
        <f t="shared" si="43"/>
        <v>44000</v>
      </c>
    </row>
    <row r="696" spans="1:7" x14ac:dyDescent="0.25">
      <c r="A696" t="s">
        <v>695</v>
      </c>
      <c r="B696" t="s">
        <v>1002</v>
      </c>
      <c r="C696" t="str">
        <f t="shared" si="40"/>
        <v>Electronics (Computing Devices)</v>
      </c>
      <c r="D696" t="str">
        <f>IF(B118="Smartphone",
"Apple",
IF(B118="Smartwatch",
"Apple",
IF(B118="Laptop",
"Lenovo",
IF(B118="Desktop PC",
"Apple",
IF(B118="Tablet",
"Apple",
IF(B118="Headphone",
"Sony",
IF(B118="Camera",
"Sony",
IF(B118="Printer",
"HP",
IF(B118="External Hard Disk",
"Seagate",
"Other")))))))))</f>
        <v>Apple</v>
      </c>
      <c r="E696" t="str">
        <f t="shared" si="41"/>
        <v>Redington India</v>
      </c>
      <c r="F696">
        <f t="shared" si="42"/>
        <v>40000</v>
      </c>
      <c r="G696">
        <f t="shared" si="43"/>
        <v>44000</v>
      </c>
    </row>
    <row r="697" spans="1:7" x14ac:dyDescent="0.25">
      <c r="A697" t="s">
        <v>696</v>
      </c>
      <c r="B697" t="s">
        <v>1009</v>
      </c>
      <c r="C697" t="str">
        <f t="shared" si="40"/>
        <v>Office Equipments</v>
      </c>
      <c r="D697" t="str">
        <f>IF(B119="Smartphone",
"Apple",
IF(B119="Smartwatch",
"Apple",
IF(B119="Laptop",
"Lenovo",
IF(B119="Desktop PC",
"Apple",
IF(B119="Tablet",
"Apple",
IF(B119="Headphone",
"Sony",
IF(B119="Camera",
"Sony",
IF(B119="Printer",
"HP",
IF(B119="External Hard Disk",
"Seagate",
"Other")))))))))</f>
        <v>Other</v>
      </c>
      <c r="E697" t="str">
        <f t="shared" si="41"/>
        <v>Ingram Micron India</v>
      </c>
      <c r="F697">
        <f t="shared" si="42"/>
        <v>35000</v>
      </c>
      <c r="G697">
        <f t="shared" si="43"/>
        <v>38500</v>
      </c>
    </row>
    <row r="698" spans="1:7" x14ac:dyDescent="0.25">
      <c r="A698" t="s">
        <v>697</v>
      </c>
      <c r="B698" t="s">
        <v>1001</v>
      </c>
      <c r="C698" t="str">
        <f t="shared" si="40"/>
        <v>Mobile and Wearables</v>
      </c>
      <c r="D698" t="str">
        <f>IF(B120="Smartphone",
"Apple",
IF(B120="Smartwatch",
"Apple",
IF(B120="Laptop",
"Lenovo",
IF(B120="Desktop PC",
"Apple",
IF(B120="Tablet",
"Apple",
IF(B120="Headphone",
"Sony",
IF(B120="Camera",
"Sony",
IF(B120="Printer",
"HP",
IF(B120="External Hard Disk",
"Seagate",
"Other")))))))))</f>
        <v>Apple</v>
      </c>
      <c r="E698" t="str">
        <f t="shared" si="41"/>
        <v>Redington India</v>
      </c>
      <c r="F698">
        <f t="shared" si="42"/>
        <v>40000</v>
      </c>
      <c r="G698">
        <f t="shared" si="43"/>
        <v>44000</v>
      </c>
    </row>
    <row r="699" spans="1:7" x14ac:dyDescent="0.25">
      <c r="A699" t="s">
        <v>698</v>
      </c>
      <c r="B699" t="s">
        <v>1001</v>
      </c>
      <c r="C699" t="str">
        <f t="shared" si="40"/>
        <v>Mobile and Wearables</v>
      </c>
      <c r="D699" t="str">
        <f>IF(B121="Smartphone",
"Apple",
IF(B121="Smartwatch",
"Apple",
IF(B121="Laptop",
"Lenovo",
IF(B121="Desktop PC",
"Apple",
IF(B121="Tablet",
"Apple",
IF(B121="Headphone",
"Sony",
IF(B121="Camera",
"Sony",
IF(B121="Printer",
"HP",
IF(B121="External Hard Disk",
"Seagate",
"Other")))))))))</f>
        <v>Lenovo</v>
      </c>
      <c r="E699" t="str">
        <f t="shared" si="41"/>
        <v>Savex Technologies</v>
      </c>
      <c r="F699">
        <f t="shared" si="42"/>
        <v>45000</v>
      </c>
      <c r="G699">
        <f t="shared" si="43"/>
        <v>49500.000000000007</v>
      </c>
    </row>
    <row r="700" spans="1:7" x14ac:dyDescent="0.25">
      <c r="A700" t="s">
        <v>699</v>
      </c>
      <c r="B700" t="s">
        <v>1001</v>
      </c>
      <c r="C700" t="str">
        <f t="shared" si="40"/>
        <v>Mobile and Wearables</v>
      </c>
      <c r="D700" t="str">
        <f>IF(B122="Smartphone",
"Apple",
IF(B122="Smartwatch",
"Apple",
IF(B122="Laptop",
"Lenovo",
IF(B122="Desktop PC",
"Apple",
IF(B122="Tablet",
"Apple",
IF(B122="Headphone",
"Sony",
IF(B122="Camera",
"Sony",
IF(B122="Printer",
"HP",
IF(B122="External Hard Disk",
"Seagate",
"Other")))))))))</f>
        <v>HP</v>
      </c>
      <c r="E700" t="str">
        <f t="shared" si="41"/>
        <v>Savex Technologies</v>
      </c>
      <c r="F700">
        <f t="shared" si="42"/>
        <v>40000</v>
      </c>
      <c r="G700">
        <f t="shared" si="43"/>
        <v>44000</v>
      </c>
    </row>
    <row r="701" spans="1:7" x14ac:dyDescent="0.25">
      <c r="A701" t="s">
        <v>700</v>
      </c>
      <c r="B701" t="s">
        <v>1003</v>
      </c>
      <c r="C701" t="str">
        <f t="shared" si="40"/>
        <v>Electronics (Computing Devices)</v>
      </c>
      <c r="D701" t="str">
        <f>IF(B123="Smartphone",
"Apple",
IF(B123="Smartwatch",
"Apple",
IF(B123="Laptop",
"Lenovo",
IF(B123="Desktop PC",
"Apple",
IF(B123="Tablet",
"Apple",
IF(B123="Headphone",
"Sony",
IF(B123="Camera",
"Sony",
IF(B123="Printer",
"HP",
IF(B123="External Hard Disk",
"Seagate",
"Other")))))))))</f>
        <v>Lenovo</v>
      </c>
      <c r="E701" t="str">
        <f t="shared" si="41"/>
        <v>Savex Technologies</v>
      </c>
      <c r="F701">
        <f t="shared" si="42"/>
        <v>45000</v>
      </c>
      <c r="G701">
        <f t="shared" si="43"/>
        <v>49500.000000000007</v>
      </c>
    </row>
    <row r="702" spans="1:7" x14ac:dyDescent="0.25">
      <c r="A702" t="s">
        <v>701</v>
      </c>
      <c r="B702" t="s">
        <v>1001</v>
      </c>
      <c r="C702" t="str">
        <f t="shared" si="40"/>
        <v>Mobile and Wearables</v>
      </c>
      <c r="D702" t="str">
        <f>IF(B124="Smartphone",
"Apple",
IF(B124="Smartwatch",
"Apple",
IF(B124="Laptop",
"Lenovo",
IF(B124="Desktop PC",
"Apple",
IF(B124="Tablet",
"Apple",
IF(B124="Headphone",
"Sony",
IF(B124="Camera",
"Sony",
IF(B124="Printer",
"HP",
IF(B124="External Hard Disk",
"Seagate",
"Other")))))))))</f>
        <v>Apple</v>
      </c>
      <c r="E702" t="str">
        <f t="shared" si="41"/>
        <v>Redington India</v>
      </c>
      <c r="F702">
        <f t="shared" si="42"/>
        <v>40000</v>
      </c>
      <c r="G702">
        <f t="shared" si="43"/>
        <v>44000</v>
      </c>
    </row>
    <row r="703" spans="1:7" x14ac:dyDescent="0.25">
      <c r="A703" t="s">
        <v>702</v>
      </c>
      <c r="B703" t="s">
        <v>1001</v>
      </c>
      <c r="C703" t="str">
        <f t="shared" si="40"/>
        <v>Mobile and Wearables</v>
      </c>
      <c r="D703" t="str">
        <f>IF(B125="Smartphone",
"Apple",
IF(B125="Smartwatch",
"Apple",
IF(B125="Laptop",
"Lenovo",
IF(B125="Desktop PC",
"Apple",
IF(B125="Tablet",
"Apple",
IF(B125="Headphone",
"Sony",
IF(B125="Camera",
"Sony",
IF(B125="Printer",
"HP",
IF(B125="External Hard Disk",
"Seagate",
"Other")))))))))</f>
        <v>Sony</v>
      </c>
      <c r="E703" t="str">
        <f t="shared" si="41"/>
        <v>Supertron Electronics</v>
      </c>
      <c r="F703">
        <f t="shared" si="42"/>
        <v>60000</v>
      </c>
      <c r="G703">
        <f t="shared" si="43"/>
        <v>66000</v>
      </c>
    </row>
    <row r="704" spans="1:7" x14ac:dyDescent="0.25">
      <c r="A704" t="s">
        <v>703</v>
      </c>
      <c r="B704" t="s">
        <v>1010</v>
      </c>
      <c r="C704" t="str">
        <f t="shared" si="40"/>
        <v>Office Equipments</v>
      </c>
      <c r="D704" t="str">
        <f>IF(B126="Smartphone",
"Apple",
IF(B126="Smartwatch",
"Apple",
IF(B126="Laptop",
"Lenovo",
IF(B126="Desktop PC",
"Apple",
IF(B126="Tablet",
"Apple",
IF(B126="Headphone",
"Sony",
IF(B126="Camera",
"Sony",
IF(B126="Printer",
"HP",
IF(B126="External Hard Disk",
"Seagate",
"Other")))))))))</f>
        <v>HP</v>
      </c>
      <c r="E704" t="str">
        <f t="shared" si="41"/>
        <v>Savex Technologies</v>
      </c>
      <c r="F704">
        <f t="shared" si="42"/>
        <v>40000</v>
      </c>
      <c r="G704">
        <f t="shared" si="43"/>
        <v>44000</v>
      </c>
    </row>
    <row r="705" spans="1:7" x14ac:dyDescent="0.25">
      <c r="A705" t="s">
        <v>704</v>
      </c>
      <c r="B705" t="s">
        <v>1005</v>
      </c>
      <c r="C705" t="str">
        <f t="shared" si="40"/>
        <v>Electronics (Computing Devices)</v>
      </c>
      <c r="D705" t="str">
        <f>IF(B127="Smartphone",
"Apple",
IF(B127="Smartwatch",
"Apple",
IF(B127="Laptop",
"Lenovo",
IF(B127="Desktop PC",
"Apple",
IF(B127="Tablet",
"Apple",
IF(B127="Headphone",
"Sony",
IF(B127="Camera",
"Sony",
IF(B127="Printer",
"HP",
IF(B127="External Hard Disk",
"Seagate",
"Other")))))))))</f>
        <v>Apple</v>
      </c>
      <c r="E705" t="str">
        <f t="shared" si="41"/>
        <v>Redington India</v>
      </c>
      <c r="F705">
        <f t="shared" si="42"/>
        <v>40000</v>
      </c>
      <c r="G705">
        <f t="shared" si="43"/>
        <v>44000</v>
      </c>
    </row>
    <row r="706" spans="1:7" x14ac:dyDescent="0.25">
      <c r="A706" t="s">
        <v>705</v>
      </c>
      <c r="B706" t="s">
        <v>1013</v>
      </c>
      <c r="C706" t="str">
        <f t="shared" si="40"/>
        <v>Storage Devices</v>
      </c>
      <c r="D706" t="str">
        <f>IF(B128="Smartphone",
"Apple",
IF(B128="Smartwatch",
"Apple",
IF(B128="Laptop",
"Lenovo",
IF(B128="Desktop PC",
"Apple",
IF(B128="Tablet",
"Apple",
IF(B128="Headphone",
"Sony",
IF(B128="Camera",
"Sony",
IF(B128="Printer",
"HP",
IF(B128="External Hard Disk",
"Seagate",
"Other")))))))))</f>
        <v>Other</v>
      </c>
      <c r="E706" t="str">
        <f t="shared" si="41"/>
        <v>Ingram Micron India</v>
      </c>
      <c r="F706">
        <f t="shared" si="42"/>
        <v>35000</v>
      </c>
      <c r="G706">
        <f t="shared" si="43"/>
        <v>38500</v>
      </c>
    </row>
    <row r="707" spans="1:7" x14ac:dyDescent="0.25">
      <c r="A707" t="s">
        <v>706</v>
      </c>
      <c r="B707" t="s">
        <v>1012</v>
      </c>
      <c r="C707" t="str">
        <f t="shared" ref="C707:C770" si="44">IF(OR(B707="Laptop",B707="Desktop PC",B707="Tablet",B707="E-Reader"),
"Electronics (Computing Devices)",
IF(OR(B707="Smartphone",B707="Smartwatch"),
"Mobile and Wearables",
IF(B707="Headphone",
"Audio Devices",
IF(OR(B707="Printer",B707="Camera"),
"Office Equipments",
IF(B707="External Hard Disk",
"Storage Devices",
"Other")))))</f>
        <v>Audio Devices</v>
      </c>
      <c r="D707" t="str">
        <f>IF(B129="Smartphone",
"Apple",
IF(B129="Smartwatch",
"Apple",
IF(B129="Laptop",
"Lenovo",
IF(B129="Desktop PC",
"Apple",
IF(B129="Tablet",
"Apple",
IF(B129="Headphone",
"Sony",
IF(B129="Camera",
"Sony",
IF(B129="Printer",
"HP",
IF(B129="External Hard Disk",
"Seagate",
"Other")))))))))</f>
        <v>Apple</v>
      </c>
      <c r="E707" t="str">
        <f t="shared" ref="E707:E770" si="45">IF(D707="Apple",
"Redington India",
IF(D707="Samsung",
"Rashi Peripherals",
IF(D707="Sony",
"Supertron Electronics",
IF(OR(D707="Lenovo",D707="HP",D707="Dell"),
"Savex Technologies",
IF(C707="Printer",
"Rashi Peripherals",
IF(C707="Camera",
"Redington India",
IF(C707="External Hard Disk",
"Supertron Electronics",
"Ingram Micron India")))))))</f>
        <v>Redington India</v>
      </c>
      <c r="F707">
        <f t="shared" ref="F707:F770" si="46">IF(D707="Apple",
IF(C707="Smartphone",95000,
IF(C707="Tablet",75000,
IF(C707="Laptop",150000,
IF(C707="Smartwatch",90000,40000)))),
IF(D707="Samsung",
IF(C707="Smartphone",55000,
IF(C707="Tablet",40000,
IF(C707="Smartwatch",25000,30000))),
IF(D707="Lenovo",
IF(C707="Laptop",85000,
IF(C707="Desktop PC",70000,45000)),
IF(D707="HP",
IF(C707="Printer",30000,
IF(C707="Laptop",80000,40000)),
IF(D707="Sony",
IF(C707="Headphone",15000,
IF(C707="Camera",120000,60000)),
IF(C707="External Hard Disk",
IF(D707="Seagate",7000,
IF(D707="Western Digital",8000,7500)),
35000))))))</f>
        <v>40000</v>
      </c>
      <c r="G707">
        <f t="shared" ref="G707:G770" si="47">IF(C707="Smartphone",F707*1.1,
IF(C707="Laptop",F707*1.08,
IF(C707="Tablet",F707*1.12,
IF(C707="Smartwatch",F707*1.15,
IF(C707="Desktop PC",F707*1.07,
IF(C707="Printer",F707*1.18,
IF(C707="Camera",F707*1.12,
IF(C707="Headphone",F707*1.25,
IF(C707="External Hard Disk",F707*1.2,
F707*1.1)))))))))</f>
        <v>44000</v>
      </c>
    </row>
    <row r="708" spans="1:7" x14ac:dyDescent="0.25">
      <c r="A708" t="s">
        <v>707</v>
      </c>
      <c r="B708" t="s">
        <v>1010</v>
      </c>
      <c r="C708" t="str">
        <f t="shared" si="44"/>
        <v>Office Equipments</v>
      </c>
      <c r="D708" t="str">
        <f>IF(B130="Smartphone",
"Apple",
IF(B130="Smartwatch",
"Apple",
IF(B130="Laptop",
"Lenovo",
IF(B130="Desktop PC",
"Apple",
IF(B130="Tablet",
"Apple",
IF(B130="Headphone",
"Sony",
IF(B130="Camera",
"Sony",
IF(B130="Printer",
"HP",
IF(B130="External Hard Disk",
"Seagate",
"Other")))))))))</f>
        <v>Apple</v>
      </c>
      <c r="E708" t="str">
        <f t="shared" si="45"/>
        <v>Redington India</v>
      </c>
      <c r="F708">
        <f t="shared" si="46"/>
        <v>40000</v>
      </c>
      <c r="G708">
        <f t="shared" si="47"/>
        <v>44000</v>
      </c>
    </row>
    <row r="709" spans="1:7" x14ac:dyDescent="0.25">
      <c r="A709" t="s">
        <v>708</v>
      </c>
      <c r="B709" t="s">
        <v>1004</v>
      </c>
      <c r="C709" t="str">
        <f t="shared" si="44"/>
        <v>Electronics (Computing Devices)</v>
      </c>
      <c r="D709" t="str">
        <f>IF(B131="Smartphone",
"Apple",
IF(B131="Smartwatch",
"Apple",
IF(B131="Laptop",
"Lenovo",
IF(B131="Desktop PC",
"Apple",
IF(B131="Tablet",
"Apple",
IF(B131="Headphone",
"Sony",
IF(B131="Camera",
"Sony",
IF(B131="Printer",
"HP",
IF(B131="External Hard Disk",
"Seagate",
"Other")))))))))</f>
        <v>Lenovo</v>
      </c>
      <c r="E709" t="str">
        <f t="shared" si="45"/>
        <v>Savex Technologies</v>
      </c>
      <c r="F709">
        <f t="shared" si="46"/>
        <v>45000</v>
      </c>
      <c r="G709">
        <f t="shared" si="47"/>
        <v>49500.000000000007</v>
      </c>
    </row>
    <row r="710" spans="1:7" x14ac:dyDescent="0.25">
      <c r="A710" t="s">
        <v>709</v>
      </c>
      <c r="B710" t="s">
        <v>1007</v>
      </c>
      <c r="C710" t="str">
        <f t="shared" si="44"/>
        <v>Mobile and Wearables</v>
      </c>
      <c r="D710" t="str">
        <f>IF(B132="Smartphone",
"Apple",
IF(B132="Smartwatch",
"Apple",
IF(B132="Laptop",
"Lenovo",
IF(B132="Desktop PC",
"Apple",
IF(B132="Tablet",
"Apple",
IF(B132="Headphone",
"Sony",
IF(B132="Camera",
"Sony",
IF(B132="Printer",
"HP",
IF(B132="External Hard Disk",
"Seagate",
"Other")))))))))</f>
        <v>Other</v>
      </c>
      <c r="E710" t="str">
        <f t="shared" si="45"/>
        <v>Ingram Micron India</v>
      </c>
      <c r="F710">
        <f t="shared" si="46"/>
        <v>35000</v>
      </c>
      <c r="G710">
        <f t="shared" si="47"/>
        <v>38500</v>
      </c>
    </row>
    <row r="711" spans="1:7" x14ac:dyDescent="0.25">
      <c r="A711" t="s">
        <v>710</v>
      </c>
      <c r="B711" t="s">
        <v>1010</v>
      </c>
      <c r="C711" t="str">
        <f t="shared" si="44"/>
        <v>Office Equipments</v>
      </c>
      <c r="D711" t="str">
        <f>IF(B133="Smartphone",
"Apple",
IF(B133="Smartwatch",
"Apple",
IF(B133="Laptop",
"Lenovo",
IF(B133="Desktop PC",
"Apple",
IF(B133="Tablet",
"Apple",
IF(B133="Headphone",
"Sony",
IF(B133="Camera",
"Sony",
IF(B133="Printer",
"HP",
IF(B133="External Hard Disk",
"Seagate",
"Other")))))))))</f>
        <v>Apple</v>
      </c>
      <c r="E711" t="str">
        <f t="shared" si="45"/>
        <v>Redington India</v>
      </c>
      <c r="F711">
        <f t="shared" si="46"/>
        <v>40000</v>
      </c>
      <c r="G711">
        <f t="shared" si="47"/>
        <v>44000</v>
      </c>
    </row>
    <row r="712" spans="1:7" x14ac:dyDescent="0.25">
      <c r="A712" t="s">
        <v>711</v>
      </c>
      <c r="B712" t="s">
        <v>1013</v>
      </c>
      <c r="C712" t="str">
        <f t="shared" si="44"/>
        <v>Storage Devices</v>
      </c>
      <c r="D712" t="str">
        <f>IF(B134="Smartphone",
"Apple",
IF(B134="Smartwatch",
"Apple",
IF(B134="Laptop",
"Lenovo",
IF(B134="Desktop PC",
"Apple",
IF(B134="Tablet",
"Apple",
IF(B134="Headphone",
"Sony",
IF(B134="Camera",
"Sony",
IF(B134="Printer",
"HP",
IF(B134="External Hard Disk",
"Seagate",
"Other")))))))))</f>
        <v>Apple</v>
      </c>
      <c r="E712" t="str">
        <f t="shared" si="45"/>
        <v>Redington India</v>
      </c>
      <c r="F712">
        <f t="shared" si="46"/>
        <v>40000</v>
      </c>
      <c r="G712">
        <f t="shared" si="47"/>
        <v>44000</v>
      </c>
    </row>
    <row r="713" spans="1:7" x14ac:dyDescent="0.25">
      <c r="A713" t="s">
        <v>712</v>
      </c>
      <c r="B713" t="s">
        <v>1001</v>
      </c>
      <c r="C713" t="str">
        <f t="shared" si="44"/>
        <v>Mobile and Wearables</v>
      </c>
      <c r="D713" t="str">
        <f>IF(B135="Smartphone",
"Apple",
IF(B135="Smartwatch",
"Apple",
IF(B135="Laptop",
"Lenovo",
IF(B135="Desktop PC",
"Apple",
IF(B135="Tablet",
"Apple",
IF(B135="Headphone",
"Sony",
IF(B135="Camera",
"Sony",
IF(B135="Printer",
"HP",
IF(B135="External Hard Disk",
"Seagate",
"Other")))))))))</f>
        <v>Seagate</v>
      </c>
      <c r="E713" t="str">
        <f t="shared" si="45"/>
        <v>Ingram Micron India</v>
      </c>
      <c r="F713">
        <f t="shared" si="46"/>
        <v>35000</v>
      </c>
      <c r="G713">
        <f t="shared" si="47"/>
        <v>38500</v>
      </c>
    </row>
    <row r="714" spans="1:7" x14ac:dyDescent="0.25">
      <c r="A714" t="s">
        <v>713</v>
      </c>
      <c r="B714" t="s">
        <v>1010</v>
      </c>
      <c r="C714" t="str">
        <f t="shared" si="44"/>
        <v>Office Equipments</v>
      </c>
      <c r="D714" t="str">
        <f>IF(B136="Smartphone",
"Apple",
IF(B136="Smartwatch",
"Apple",
IF(B136="Laptop",
"Lenovo",
IF(B136="Desktop PC",
"Apple",
IF(B136="Tablet",
"Apple",
IF(B136="Headphone",
"Sony",
IF(B136="Camera",
"Sony",
IF(B136="Printer",
"HP",
IF(B136="External Hard Disk",
"Seagate",
"Other")))))))))</f>
        <v>Sony</v>
      </c>
      <c r="E714" t="str">
        <f t="shared" si="45"/>
        <v>Supertron Electronics</v>
      </c>
      <c r="F714">
        <f t="shared" si="46"/>
        <v>60000</v>
      </c>
      <c r="G714">
        <f t="shared" si="47"/>
        <v>66000</v>
      </c>
    </row>
    <row r="715" spans="1:7" x14ac:dyDescent="0.25">
      <c r="A715" t="s">
        <v>714</v>
      </c>
      <c r="B715" t="s">
        <v>1007</v>
      </c>
      <c r="C715" t="str">
        <f t="shared" si="44"/>
        <v>Mobile and Wearables</v>
      </c>
      <c r="D715" t="str">
        <f>IF(B137="Smartphone",
"Apple",
IF(B137="Smartwatch",
"Apple",
IF(B137="Laptop",
"Lenovo",
IF(B137="Desktop PC",
"Apple",
IF(B137="Tablet",
"Apple",
IF(B137="Headphone",
"Sony",
IF(B137="Camera",
"Sony",
IF(B137="Printer",
"HP",
IF(B137="External Hard Disk",
"Seagate",
"Other")))))))))</f>
        <v>Apple</v>
      </c>
      <c r="E715" t="str">
        <f t="shared" si="45"/>
        <v>Redington India</v>
      </c>
      <c r="F715">
        <f t="shared" si="46"/>
        <v>40000</v>
      </c>
      <c r="G715">
        <f t="shared" si="47"/>
        <v>44000</v>
      </c>
    </row>
    <row r="716" spans="1:7" x14ac:dyDescent="0.25">
      <c r="A716" t="s">
        <v>715</v>
      </c>
      <c r="B716" t="s">
        <v>1013</v>
      </c>
      <c r="C716" t="str">
        <f t="shared" si="44"/>
        <v>Storage Devices</v>
      </c>
      <c r="D716" t="str">
        <f>IF(B138="Smartphone",
"Apple",
IF(B138="Smartwatch",
"Apple",
IF(B138="Laptop",
"Lenovo",
IF(B138="Desktop PC",
"Apple",
IF(B138="Tablet",
"Apple",
IF(B138="Headphone",
"Sony",
IF(B138="Camera",
"Sony",
IF(B138="Printer",
"HP",
IF(B138="External Hard Disk",
"Seagate",
"Other")))))))))</f>
        <v>Other</v>
      </c>
      <c r="E716" t="str">
        <f t="shared" si="45"/>
        <v>Ingram Micron India</v>
      </c>
      <c r="F716">
        <f t="shared" si="46"/>
        <v>35000</v>
      </c>
      <c r="G716">
        <f t="shared" si="47"/>
        <v>38500</v>
      </c>
    </row>
    <row r="717" spans="1:7" x14ac:dyDescent="0.25">
      <c r="A717" t="s">
        <v>716</v>
      </c>
      <c r="B717" t="s">
        <v>1002</v>
      </c>
      <c r="C717" t="str">
        <f t="shared" si="44"/>
        <v>Electronics (Computing Devices)</v>
      </c>
      <c r="D717" t="str">
        <f>IF(B139="Smartphone",
"Apple",
IF(B139="Smartwatch",
"Apple",
IF(B139="Laptop",
"Lenovo",
IF(B139="Desktop PC",
"Apple",
IF(B139="Tablet",
"Apple",
IF(B139="Headphone",
"Sony",
IF(B139="Camera",
"Sony",
IF(B139="Printer",
"HP",
IF(B139="External Hard Disk",
"Seagate",
"Other")))))))))</f>
        <v>Sony</v>
      </c>
      <c r="E717" t="str">
        <f t="shared" si="45"/>
        <v>Supertron Electronics</v>
      </c>
      <c r="F717">
        <f t="shared" si="46"/>
        <v>60000</v>
      </c>
      <c r="G717">
        <f t="shared" si="47"/>
        <v>66000</v>
      </c>
    </row>
    <row r="718" spans="1:7" x14ac:dyDescent="0.25">
      <c r="A718" t="s">
        <v>717</v>
      </c>
      <c r="B718" t="s">
        <v>1004</v>
      </c>
      <c r="C718" t="str">
        <f t="shared" si="44"/>
        <v>Electronics (Computing Devices)</v>
      </c>
      <c r="D718" t="str">
        <f>IF(B140="Smartphone",
"Apple",
IF(B140="Smartwatch",
"Apple",
IF(B140="Laptop",
"Lenovo",
IF(B140="Desktop PC",
"Apple",
IF(B140="Tablet",
"Apple",
IF(B140="Headphone",
"Sony",
IF(B140="Camera",
"Sony",
IF(B140="Printer",
"HP",
IF(B140="External Hard Disk",
"Seagate",
"Other")))))))))</f>
        <v>Apple</v>
      </c>
      <c r="E718" t="str">
        <f t="shared" si="45"/>
        <v>Redington India</v>
      </c>
      <c r="F718">
        <f t="shared" si="46"/>
        <v>40000</v>
      </c>
      <c r="G718">
        <f t="shared" si="47"/>
        <v>44000</v>
      </c>
    </row>
    <row r="719" spans="1:7" x14ac:dyDescent="0.25">
      <c r="A719" t="s">
        <v>718</v>
      </c>
      <c r="B719" t="s">
        <v>1012</v>
      </c>
      <c r="C719" t="str">
        <f t="shared" si="44"/>
        <v>Audio Devices</v>
      </c>
      <c r="D719" t="str">
        <f>IF(B141="Smartphone",
"Apple",
IF(B141="Smartwatch",
"Apple",
IF(B141="Laptop",
"Lenovo",
IF(B141="Desktop PC",
"Apple",
IF(B141="Tablet",
"Apple",
IF(B141="Headphone",
"Sony",
IF(B141="Camera",
"Sony",
IF(B141="Printer",
"HP",
IF(B141="External Hard Disk",
"Seagate",
"Other")))))))))</f>
        <v>Sony</v>
      </c>
      <c r="E719" t="str">
        <f t="shared" si="45"/>
        <v>Supertron Electronics</v>
      </c>
      <c r="F719">
        <f t="shared" si="46"/>
        <v>60000</v>
      </c>
      <c r="G719">
        <f t="shared" si="47"/>
        <v>66000</v>
      </c>
    </row>
    <row r="720" spans="1:7" x14ac:dyDescent="0.25">
      <c r="A720" t="s">
        <v>719</v>
      </c>
      <c r="B720" t="s">
        <v>1007</v>
      </c>
      <c r="C720" t="str">
        <f t="shared" si="44"/>
        <v>Mobile and Wearables</v>
      </c>
      <c r="D720" t="str">
        <f>IF(B142="Smartphone",
"Apple",
IF(B142="Smartwatch",
"Apple",
IF(B142="Laptop",
"Lenovo",
IF(B142="Desktop PC",
"Apple",
IF(B142="Tablet",
"Apple",
IF(B142="Headphone",
"Sony",
IF(B142="Camera",
"Sony",
IF(B142="Printer",
"HP",
IF(B142="External Hard Disk",
"Seagate",
"Other")))))))))</f>
        <v>HP</v>
      </c>
      <c r="E720" t="str">
        <f t="shared" si="45"/>
        <v>Savex Technologies</v>
      </c>
      <c r="F720">
        <f t="shared" si="46"/>
        <v>40000</v>
      </c>
      <c r="G720">
        <f t="shared" si="47"/>
        <v>44000</v>
      </c>
    </row>
    <row r="721" spans="1:7" x14ac:dyDescent="0.25">
      <c r="A721" t="s">
        <v>720</v>
      </c>
      <c r="B721" t="s">
        <v>1002</v>
      </c>
      <c r="C721" t="str">
        <f t="shared" si="44"/>
        <v>Electronics (Computing Devices)</v>
      </c>
      <c r="D721" t="str">
        <f>IF(B143="Smartphone",
"Apple",
IF(B143="Smartwatch",
"Apple",
IF(B143="Laptop",
"Lenovo",
IF(B143="Desktop PC",
"Apple",
IF(B143="Tablet",
"Apple",
IF(B143="Headphone",
"Sony",
IF(B143="Camera",
"Sony",
IF(B143="Printer",
"HP",
IF(B143="External Hard Disk",
"Seagate",
"Other")))))))))</f>
        <v>Apple</v>
      </c>
      <c r="E721" t="str">
        <f t="shared" si="45"/>
        <v>Redington India</v>
      </c>
      <c r="F721">
        <f t="shared" si="46"/>
        <v>40000</v>
      </c>
      <c r="G721">
        <f t="shared" si="47"/>
        <v>44000</v>
      </c>
    </row>
    <row r="722" spans="1:7" x14ac:dyDescent="0.25">
      <c r="A722" t="s">
        <v>721</v>
      </c>
      <c r="B722" t="s">
        <v>1001</v>
      </c>
      <c r="C722" t="str">
        <f t="shared" si="44"/>
        <v>Mobile and Wearables</v>
      </c>
      <c r="D722" t="str">
        <f>IF(B144="Smartphone",
"Apple",
IF(B144="Smartwatch",
"Apple",
IF(B144="Laptop",
"Lenovo",
IF(B144="Desktop PC",
"Apple",
IF(B144="Tablet",
"Apple",
IF(B144="Headphone",
"Sony",
IF(B144="Camera",
"Sony",
IF(B144="Printer",
"HP",
IF(B144="External Hard Disk",
"Seagate",
"Other")))))))))</f>
        <v>Seagate</v>
      </c>
      <c r="E722" t="str">
        <f t="shared" si="45"/>
        <v>Ingram Micron India</v>
      </c>
      <c r="F722">
        <f t="shared" si="46"/>
        <v>35000</v>
      </c>
      <c r="G722">
        <f t="shared" si="47"/>
        <v>38500</v>
      </c>
    </row>
    <row r="723" spans="1:7" x14ac:dyDescent="0.25">
      <c r="A723" t="s">
        <v>722</v>
      </c>
      <c r="B723" t="s">
        <v>1012</v>
      </c>
      <c r="C723" t="str">
        <f t="shared" si="44"/>
        <v>Audio Devices</v>
      </c>
      <c r="D723" t="str">
        <f>IF(B145="Smartphone",
"Apple",
IF(B145="Smartwatch",
"Apple",
IF(B145="Laptop",
"Lenovo",
IF(B145="Desktop PC",
"Apple",
IF(B145="Tablet",
"Apple",
IF(B145="Headphone",
"Sony",
IF(B145="Camera",
"Sony",
IF(B145="Printer",
"HP",
IF(B145="External Hard Disk",
"Seagate",
"Other")))))))))</f>
        <v>Seagate</v>
      </c>
      <c r="E723" t="str">
        <f t="shared" si="45"/>
        <v>Ingram Micron India</v>
      </c>
      <c r="F723">
        <f t="shared" si="46"/>
        <v>35000</v>
      </c>
      <c r="G723">
        <f t="shared" si="47"/>
        <v>38500</v>
      </c>
    </row>
    <row r="724" spans="1:7" x14ac:dyDescent="0.25">
      <c r="A724" t="s">
        <v>723</v>
      </c>
      <c r="B724" t="s">
        <v>1002</v>
      </c>
      <c r="C724" t="str">
        <f t="shared" si="44"/>
        <v>Electronics (Computing Devices)</v>
      </c>
      <c r="D724" t="str">
        <f>IF(B146="Smartphone",
"Apple",
IF(B146="Smartwatch",
"Apple",
IF(B146="Laptop",
"Lenovo",
IF(B146="Desktop PC",
"Apple",
IF(B146="Tablet",
"Apple",
IF(B146="Headphone",
"Sony",
IF(B146="Camera",
"Sony",
IF(B146="Printer",
"HP",
IF(B146="External Hard Disk",
"Seagate",
"Other")))))))))</f>
        <v>Apple</v>
      </c>
      <c r="E724" t="str">
        <f t="shared" si="45"/>
        <v>Redington India</v>
      </c>
      <c r="F724">
        <f t="shared" si="46"/>
        <v>40000</v>
      </c>
      <c r="G724">
        <f t="shared" si="47"/>
        <v>44000</v>
      </c>
    </row>
    <row r="725" spans="1:7" x14ac:dyDescent="0.25">
      <c r="A725" t="s">
        <v>724</v>
      </c>
      <c r="B725" t="s">
        <v>1003</v>
      </c>
      <c r="C725" t="str">
        <f t="shared" si="44"/>
        <v>Electronics (Computing Devices)</v>
      </c>
      <c r="D725" t="str">
        <f>IF(B147="Smartphone",
"Apple",
IF(B147="Smartwatch",
"Apple",
IF(B147="Laptop",
"Lenovo",
IF(B147="Desktop PC",
"Apple",
IF(B147="Tablet",
"Apple",
IF(B147="Headphone",
"Sony",
IF(B147="Camera",
"Sony",
IF(B147="Printer",
"HP",
IF(B147="External Hard Disk",
"Seagate",
"Other")))))))))</f>
        <v>Lenovo</v>
      </c>
      <c r="E725" t="str">
        <f t="shared" si="45"/>
        <v>Savex Technologies</v>
      </c>
      <c r="F725">
        <f t="shared" si="46"/>
        <v>45000</v>
      </c>
      <c r="G725">
        <f t="shared" si="47"/>
        <v>49500.000000000007</v>
      </c>
    </row>
    <row r="726" spans="1:7" x14ac:dyDescent="0.25">
      <c r="A726" t="s">
        <v>725</v>
      </c>
      <c r="B726" t="s">
        <v>1012</v>
      </c>
      <c r="C726" t="str">
        <f t="shared" si="44"/>
        <v>Audio Devices</v>
      </c>
      <c r="D726" t="str">
        <f>IF(B148="Smartphone",
"Apple",
IF(B148="Smartwatch",
"Apple",
IF(B148="Laptop",
"Lenovo",
IF(B148="Desktop PC",
"Apple",
IF(B148="Tablet",
"Apple",
IF(B148="Headphone",
"Sony",
IF(B148="Camera",
"Sony",
IF(B148="Printer",
"HP",
IF(B148="External Hard Disk",
"Seagate",
"Other")))))))))</f>
        <v>Other</v>
      </c>
      <c r="E726" t="str">
        <f t="shared" si="45"/>
        <v>Ingram Micron India</v>
      </c>
      <c r="F726">
        <f t="shared" si="46"/>
        <v>35000</v>
      </c>
      <c r="G726">
        <f t="shared" si="47"/>
        <v>38500</v>
      </c>
    </row>
    <row r="727" spans="1:7" x14ac:dyDescent="0.25">
      <c r="A727" t="s">
        <v>726</v>
      </c>
      <c r="B727" t="s">
        <v>1007</v>
      </c>
      <c r="C727" t="str">
        <f t="shared" si="44"/>
        <v>Mobile and Wearables</v>
      </c>
      <c r="D727" t="str">
        <f>IF(B149="Smartphone",
"Apple",
IF(B149="Smartwatch",
"Apple",
IF(B149="Laptop",
"Lenovo",
IF(B149="Desktop PC",
"Apple",
IF(B149="Tablet",
"Apple",
IF(B149="Headphone",
"Sony",
IF(B149="Camera",
"Sony",
IF(B149="Printer",
"HP",
IF(B149="External Hard Disk",
"Seagate",
"Other")))))))))</f>
        <v>Apple</v>
      </c>
      <c r="E727" t="str">
        <f t="shared" si="45"/>
        <v>Redington India</v>
      </c>
      <c r="F727">
        <f t="shared" si="46"/>
        <v>40000</v>
      </c>
      <c r="G727">
        <f t="shared" si="47"/>
        <v>44000</v>
      </c>
    </row>
    <row r="728" spans="1:7" x14ac:dyDescent="0.25">
      <c r="A728" t="s">
        <v>727</v>
      </c>
      <c r="B728" t="s">
        <v>1007</v>
      </c>
      <c r="C728" t="str">
        <f t="shared" si="44"/>
        <v>Mobile and Wearables</v>
      </c>
      <c r="D728" t="str">
        <f>IF(B150="Smartphone",
"Apple",
IF(B150="Smartwatch",
"Apple",
IF(B150="Laptop",
"Lenovo",
IF(B150="Desktop PC",
"Apple",
IF(B150="Tablet",
"Apple",
IF(B150="Headphone",
"Sony",
IF(B150="Camera",
"Sony",
IF(B150="Printer",
"HP",
IF(B150="External Hard Disk",
"Seagate",
"Other")))))))))</f>
        <v>Sony</v>
      </c>
      <c r="E728" t="str">
        <f t="shared" si="45"/>
        <v>Supertron Electronics</v>
      </c>
      <c r="F728">
        <f t="shared" si="46"/>
        <v>60000</v>
      </c>
      <c r="G728">
        <f t="shared" si="47"/>
        <v>66000</v>
      </c>
    </row>
    <row r="729" spans="1:7" x14ac:dyDescent="0.25">
      <c r="A729" t="s">
        <v>728</v>
      </c>
      <c r="B729" t="s">
        <v>1007</v>
      </c>
      <c r="C729" t="str">
        <f t="shared" si="44"/>
        <v>Mobile and Wearables</v>
      </c>
      <c r="D729" t="str">
        <f>IF(B151="Smartphone",
"Apple",
IF(B151="Smartwatch",
"Apple",
IF(B151="Laptop",
"Lenovo",
IF(B151="Desktop PC",
"Apple",
IF(B151="Tablet",
"Apple",
IF(B151="Headphone",
"Sony",
IF(B151="Camera",
"Sony",
IF(B151="Printer",
"HP",
IF(B151="External Hard Disk",
"Seagate",
"Other")))))))))</f>
        <v>Apple</v>
      </c>
      <c r="E729" t="str">
        <f t="shared" si="45"/>
        <v>Redington India</v>
      </c>
      <c r="F729">
        <f t="shared" si="46"/>
        <v>40000</v>
      </c>
      <c r="G729">
        <f t="shared" si="47"/>
        <v>44000</v>
      </c>
    </row>
    <row r="730" spans="1:7" x14ac:dyDescent="0.25">
      <c r="A730" t="s">
        <v>729</v>
      </c>
      <c r="B730" t="s">
        <v>1013</v>
      </c>
      <c r="C730" t="str">
        <f t="shared" si="44"/>
        <v>Storage Devices</v>
      </c>
      <c r="D730" t="str">
        <f>IF(B152="Smartphone",
"Apple",
IF(B152="Smartwatch",
"Apple",
IF(B152="Laptop",
"Lenovo",
IF(B152="Desktop PC",
"Apple",
IF(B152="Tablet",
"Apple",
IF(B152="Headphone",
"Sony",
IF(B152="Camera",
"Sony",
IF(B152="Printer",
"HP",
IF(B152="External Hard Disk",
"Seagate",
"Other")))))))))</f>
        <v>Sony</v>
      </c>
      <c r="E730" t="str">
        <f t="shared" si="45"/>
        <v>Supertron Electronics</v>
      </c>
      <c r="F730">
        <f t="shared" si="46"/>
        <v>60000</v>
      </c>
      <c r="G730">
        <f t="shared" si="47"/>
        <v>66000</v>
      </c>
    </row>
    <row r="731" spans="1:7" x14ac:dyDescent="0.25">
      <c r="A731" t="s">
        <v>730</v>
      </c>
      <c r="B731" t="s">
        <v>1009</v>
      </c>
      <c r="C731" t="str">
        <f t="shared" si="44"/>
        <v>Office Equipments</v>
      </c>
      <c r="D731" t="str">
        <f>IF(B153="Smartphone",
"Apple",
IF(B153="Smartwatch",
"Apple",
IF(B153="Laptop",
"Lenovo",
IF(B153="Desktop PC",
"Apple",
IF(B153="Tablet",
"Apple",
IF(B153="Headphone",
"Sony",
IF(B153="Camera",
"Sony",
IF(B153="Printer",
"HP",
IF(B153="External Hard Disk",
"Seagate",
"Other")))))))))</f>
        <v>HP</v>
      </c>
      <c r="E731" t="str">
        <f t="shared" si="45"/>
        <v>Savex Technologies</v>
      </c>
      <c r="F731">
        <f t="shared" si="46"/>
        <v>40000</v>
      </c>
      <c r="G731">
        <f t="shared" si="47"/>
        <v>44000</v>
      </c>
    </row>
    <row r="732" spans="1:7" x14ac:dyDescent="0.25">
      <c r="A732" t="s">
        <v>731</v>
      </c>
      <c r="B732" t="s">
        <v>1012</v>
      </c>
      <c r="C732" t="str">
        <f t="shared" si="44"/>
        <v>Audio Devices</v>
      </c>
      <c r="D732" t="str">
        <f>IF(B154="Smartphone",
"Apple",
IF(B154="Smartwatch",
"Apple",
IF(B154="Laptop",
"Lenovo",
IF(B154="Desktop PC",
"Apple",
IF(B154="Tablet",
"Apple",
IF(B154="Headphone",
"Sony",
IF(B154="Camera",
"Sony",
IF(B154="Printer",
"HP",
IF(B154="External Hard Disk",
"Seagate",
"Other")))))))))</f>
        <v>Apple</v>
      </c>
      <c r="E732" t="str">
        <f t="shared" si="45"/>
        <v>Redington India</v>
      </c>
      <c r="F732">
        <f t="shared" si="46"/>
        <v>40000</v>
      </c>
      <c r="G732">
        <f t="shared" si="47"/>
        <v>44000</v>
      </c>
    </row>
    <row r="733" spans="1:7" x14ac:dyDescent="0.25">
      <c r="A733" t="s">
        <v>732</v>
      </c>
      <c r="B733" t="s">
        <v>1005</v>
      </c>
      <c r="C733" t="str">
        <f t="shared" si="44"/>
        <v>Electronics (Computing Devices)</v>
      </c>
      <c r="D733" t="str">
        <f>IF(B155="Smartphone",
"Apple",
IF(B155="Smartwatch",
"Apple",
IF(B155="Laptop",
"Lenovo",
IF(B155="Desktop PC",
"Apple",
IF(B155="Tablet",
"Apple",
IF(B155="Headphone",
"Sony",
IF(B155="Camera",
"Sony",
IF(B155="Printer",
"HP",
IF(B155="External Hard Disk",
"Seagate",
"Other")))))))))</f>
        <v>Other</v>
      </c>
      <c r="E733" t="str">
        <f t="shared" si="45"/>
        <v>Ingram Micron India</v>
      </c>
      <c r="F733">
        <f t="shared" si="46"/>
        <v>35000</v>
      </c>
      <c r="G733">
        <f t="shared" si="47"/>
        <v>38500</v>
      </c>
    </row>
    <row r="734" spans="1:7" x14ac:dyDescent="0.25">
      <c r="A734" t="s">
        <v>733</v>
      </c>
      <c r="B734" t="s">
        <v>1001</v>
      </c>
      <c r="C734" t="str">
        <f t="shared" si="44"/>
        <v>Mobile and Wearables</v>
      </c>
      <c r="D734" t="str">
        <f>IF(B156="Smartphone",
"Apple",
IF(B156="Smartwatch",
"Apple",
IF(B156="Laptop",
"Lenovo",
IF(B156="Desktop PC",
"Apple",
IF(B156="Tablet",
"Apple",
IF(B156="Headphone",
"Sony",
IF(B156="Camera",
"Sony",
IF(B156="Printer",
"HP",
IF(B156="External Hard Disk",
"Seagate",
"Other")))))))))</f>
        <v>Sony</v>
      </c>
      <c r="E734" t="str">
        <f t="shared" si="45"/>
        <v>Supertron Electronics</v>
      </c>
      <c r="F734">
        <f t="shared" si="46"/>
        <v>60000</v>
      </c>
      <c r="G734">
        <f t="shared" si="47"/>
        <v>66000</v>
      </c>
    </row>
    <row r="735" spans="1:7" x14ac:dyDescent="0.25">
      <c r="A735" t="s">
        <v>734</v>
      </c>
      <c r="B735" t="s">
        <v>1002</v>
      </c>
      <c r="C735" t="str">
        <f t="shared" si="44"/>
        <v>Electronics (Computing Devices)</v>
      </c>
      <c r="D735" t="str">
        <f>IF(B157="Smartphone",
"Apple",
IF(B157="Smartwatch",
"Apple",
IF(B157="Laptop",
"Lenovo",
IF(B157="Desktop PC",
"Apple",
IF(B157="Tablet",
"Apple",
IF(B157="Headphone",
"Sony",
IF(B157="Camera",
"Sony",
IF(B157="Printer",
"HP",
IF(B157="External Hard Disk",
"Seagate",
"Other")))))))))</f>
        <v>Other</v>
      </c>
      <c r="E735" t="str">
        <f t="shared" si="45"/>
        <v>Ingram Micron India</v>
      </c>
      <c r="F735">
        <f t="shared" si="46"/>
        <v>35000</v>
      </c>
      <c r="G735">
        <f t="shared" si="47"/>
        <v>38500</v>
      </c>
    </row>
    <row r="736" spans="1:7" x14ac:dyDescent="0.25">
      <c r="A736" t="s">
        <v>735</v>
      </c>
      <c r="B736" t="s">
        <v>1003</v>
      </c>
      <c r="C736" t="str">
        <f t="shared" si="44"/>
        <v>Electronics (Computing Devices)</v>
      </c>
      <c r="D736" t="str">
        <f>IF(B158="Smartphone",
"Apple",
IF(B158="Smartwatch",
"Apple",
IF(B158="Laptop",
"Lenovo",
IF(B158="Desktop PC",
"Apple",
IF(B158="Tablet",
"Apple",
IF(B158="Headphone",
"Sony",
IF(B158="Camera",
"Sony",
IF(B158="Printer",
"HP",
IF(B158="External Hard Disk",
"Seagate",
"Other")))))))))</f>
        <v>Apple</v>
      </c>
      <c r="E736" t="str">
        <f t="shared" si="45"/>
        <v>Redington India</v>
      </c>
      <c r="F736">
        <f t="shared" si="46"/>
        <v>40000</v>
      </c>
      <c r="G736">
        <f t="shared" si="47"/>
        <v>44000</v>
      </c>
    </row>
    <row r="737" spans="1:7" x14ac:dyDescent="0.25">
      <c r="A737" t="s">
        <v>736</v>
      </c>
      <c r="B737" t="s">
        <v>1004</v>
      </c>
      <c r="C737" t="str">
        <f t="shared" si="44"/>
        <v>Electronics (Computing Devices)</v>
      </c>
      <c r="D737" t="str">
        <f>IF(B159="Smartphone",
"Apple",
IF(B159="Smartwatch",
"Apple",
IF(B159="Laptop",
"Lenovo",
IF(B159="Desktop PC",
"Apple",
IF(B159="Tablet",
"Apple",
IF(B159="Headphone",
"Sony",
IF(B159="Camera",
"Sony",
IF(B159="Printer",
"HP",
IF(B159="External Hard Disk",
"Seagate",
"Other")))))))))</f>
        <v>Other</v>
      </c>
      <c r="E737" t="str">
        <f t="shared" si="45"/>
        <v>Ingram Micron India</v>
      </c>
      <c r="F737">
        <f t="shared" si="46"/>
        <v>35000</v>
      </c>
      <c r="G737">
        <f t="shared" si="47"/>
        <v>38500</v>
      </c>
    </row>
    <row r="738" spans="1:7" x14ac:dyDescent="0.25">
      <c r="A738" t="s">
        <v>737</v>
      </c>
      <c r="B738" t="s">
        <v>1007</v>
      </c>
      <c r="C738" t="str">
        <f t="shared" si="44"/>
        <v>Mobile and Wearables</v>
      </c>
      <c r="D738" t="str">
        <f>IF(B160="Smartphone",
"Apple",
IF(B160="Smartwatch",
"Apple",
IF(B160="Laptop",
"Lenovo",
IF(B160="Desktop PC",
"Apple",
IF(B160="Tablet",
"Apple",
IF(B160="Headphone",
"Sony",
IF(B160="Camera",
"Sony",
IF(B160="Printer",
"HP",
IF(B160="External Hard Disk",
"Seagate",
"Other")))))))))</f>
        <v>Apple</v>
      </c>
      <c r="E738" t="str">
        <f t="shared" si="45"/>
        <v>Redington India</v>
      </c>
      <c r="F738">
        <f t="shared" si="46"/>
        <v>40000</v>
      </c>
      <c r="G738">
        <f t="shared" si="47"/>
        <v>44000</v>
      </c>
    </row>
    <row r="739" spans="1:7" x14ac:dyDescent="0.25">
      <c r="A739" t="s">
        <v>738</v>
      </c>
      <c r="B739" t="s">
        <v>1012</v>
      </c>
      <c r="C739" t="str">
        <f t="shared" si="44"/>
        <v>Audio Devices</v>
      </c>
      <c r="D739" t="str">
        <f>IF(B161="Smartphone",
"Apple",
IF(B161="Smartwatch",
"Apple",
IF(B161="Laptop",
"Lenovo",
IF(B161="Desktop PC",
"Apple",
IF(B161="Tablet",
"Apple",
IF(B161="Headphone",
"Sony",
IF(B161="Camera",
"Sony",
IF(B161="Printer",
"HP",
IF(B161="External Hard Disk",
"Seagate",
"Other")))))))))</f>
        <v>Apple</v>
      </c>
      <c r="E739" t="str">
        <f t="shared" si="45"/>
        <v>Redington India</v>
      </c>
      <c r="F739">
        <f t="shared" si="46"/>
        <v>40000</v>
      </c>
      <c r="G739">
        <f t="shared" si="47"/>
        <v>44000</v>
      </c>
    </row>
    <row r="740" spans="1:7" x14ac:dyDescent="0.25">
      <c r="A740" t="s">
        <v>739</v>
      </c>
      <c r="B740" t="s">
        <v>1009</v>
      </c>
      <c r="C740" t="str">
        <f t="shared" si="44"/>
        <v>Office Equipments</v>
      </c>
      <c r="D740" t="str">
        <f>IF(B162="Smartphone",
"Apple",
IF(B162="Smartwatch",
"Apple",
IF(B162="Laptop",
"Lenovo",
IF(B162="Desktop PC",
"Apple",
IF(B162="Tablet",
"Apple",
IF(B162="Headphone",
"Sony",
IF(B162="Camera",
"Sony",
IF(B162="Printer",
"HP",
IF(B162="External Hard Disk",
"Seagate",
"Other")))))))))</f>
        <v>Apple</v>
      </c>
      <c r="E740" t="str">
        <f t="shared" si="45"/>
        <v>Redington India</v>
      </c>
      <c r="F740">
        <f t="shared" si="46"/>
        <v>40000</v>
      </c>
      <c r="G740">
        <f t="shared" si="47"/>
        <v>44000</v>
      </c>
    </row>
    <row r="741" spans="1:7" x14ac:dyDescent="0.25">
      <c r="A741" t="s">
        <v>740</v>
      </c>
      <c r="B741" t="s">
        <v>1013</v>
      </c>
      <c r="C741" t="str">
        <f t="shared" si="44"/>
        <v>Storage Devices</v>
      </c>
      <c r="D741" t="str">
        <f>IF(B163="Smartphone",
"Apple",
IF(B163="Smartwatch",
"Apple",
IF(B163="Laptop",
"Lenovo",
IF(B163="Desktop PC",
"Apple",
IF(B163="Tablet",
"Apple",
IF(B163="Headphone",
"Sony",
IF(B163="Camera",
"Sony",
IF(B163="Printer",
"HP",
IF(B163="External Hard Disk",
"Seagate",
"Other")))))))))</f>
        <v>Sony</v>
      </c>
      <c r="E741" t="str">
        <f t="shared" si="45"/>
        <v>Supertron Electronics</v>
      </c>
      <c r="F741">
        <f t="shared" si="46"/>
        <v>60000</v>
      </c>
      <c r="G741">
        <f t="shared" si="47"/>
        <v>66000</v>
      </c>
    </row>
    <row r="742" spans="1:7" x14ac:dyDescent="0.25">
      <c r="A742" t="s">
        <v>741</v>
      </c>
      <c r="B742" t="s">
        <v>1001</v>
      </c>
      <c r="C742" t="str">
        <f t="shared" si="44"/>
        <v>Mobile and Wearables</v>
      </c>
      <c r="D742" t="str">
        <f>IF(B164="Smartphone",
"Apple",
IF(B164="Smartwatch",
"Apple",
IF(B164="Laptop",
"Lenovo",
IF(B164="Desktop PC",
"Apple",
IF(B164="Tablet",
"Apple",
IF(B164="Headphone",
"Sony",
IF(B164="Camera",
"Sony",
IF(B164="Printer",
"HP",
IF(B164="External Hard Disk",
"Seagate",
"Other")))))))))</f>
        <v>Apple</v>
      </c>
      <c r="E742" t="str">
        <f t="shared" si="45"/>
        <v>Redington India</v>
      </c>
      <c r="F742">
        <f t="shared" si="46"/>
        <v>40000</v>
      </c>
      <c r="G742">
        <f t="shared" si="47"/>
        <v>44000</v>
      </c>
    </row>
    <row r="743" spans="1:7" x14ac:dyDescent="0.25">
      <c r="A743" t="s">
        <v>742</v>
      </c>
      <c r="B743" t="s">
        <v>1005</v>
      </c>
      <c r="C743" t="str">
        <f t="shared" si="44"/>
        <v>Electronics (Computing Devices)</v>
      </c>
      <c r="D743" t="str">
        <f>IF(B165="Smartphone",
"Apple",
IF(B165="Smartwatch",
"Apple",
IF(B165="Laptop",
"Lenovo",
IF(B165="Desktop PC",
"Apple",
IF(B165="Tablet",
"Apple",
IF(B165="Headphone",
"Sony",
IF(B165="Camera",
"Sony",
IF(B165="Printer",
"HP",
IF(B165="External Hard Disk",
"Seagate",
"Other")))))))))</f>
        <v>Seagate</v>
      </c>
      <c r="E743" t="str">
        <f t="shared" si="45"/>
        <v>Ingram Micron India</v>
      </c>
      <c r="F743">
        <f t="shared" si="46"/>
        <v>35000</v>
      </c>
      <c r="G743">
        <f t="shared" si="47"/>
        <v>38500</v>
      </c>
    </row>
    <row r="744" spans="1:7" x14ac:dyDescent="0.25">
      <c r="A744" t="s">
        <v>743</v>
      </c>
      <c r="B744" t="s">
        <v>1005</v>
      </c>
      <c r="C744" t="str">
        <f t="shared" si="44"/>
        <v>Electronics (Computing Devices)</v>
      </c>
      <c r="D744" t="str">
        <f>IF(B166="Smartphone",
"Apple",
IF(B166="Smartwatch",
"Apple",
IF(B166="Laptop",
"Lenovo",
IF(B166="Desktop PC",
"Apple",
IF(B166="Tablet",
"Apple",
IF(B166="Headphone",
"Sony",
IF(B166="Camera",
"Sony",
IF(B166="Printer",
"HP",
IF(B166="External Hard Disk",
"Seagate",
"Other")))))))))</f>
        <v>Lenovo</v>
      </c>
      <c r="E744" t="str">
        <f t="shared" si="45"/>
        <v>Savex Technologies</v>
      </c>
      <c r="F744">
        <f t="shared" si="46"/>
        <v>45000</v>
      </c>
      <c r="G744">
        <f t="shared" si="47"/>
        <v>49500.000000000007</v>
      </c>
    </row>
    <row r="745" spans="1:7" x14ac:dyDescent="0.25">
      <c r="A745" t="s">
        <v>744</v>
      </c>
      <c r="B745" t="s">
        <v>1009</v>
      </c>
      <c r="C745" t="str">
        <f t="shared" si="44"/>
        <v>Office Equipments</v>
      </c>
      <c r="D745" t="str">
        <f>IF(B167="Smartphone",
"Apple",
IF(B167="Smartwatch",
"Apple",
IF(B167="Laptop",
"Lenovo",
IF(B167="Desktop PC",
"Apple",
IF(B167="Tablet",
"Apple",
IF(B167="Headphone",
"Sony",
IF(B167="Camera",
"Sony",
IF(B167="Printer",
"HP",
IF(B167="External Hard Disk",
"Seagate",
"Other")))))))))</f>
        <v>Seagate</v>
      </c>
      <c r="E745" t="str">
        <f t="shared" si="45"/>
        <v>Ingram Micron India</v>
      </c>
      <c r="F745">
        <f t="shared" si="46"/>
        <v>35000</v>
      </c>
      <c r="G745">
        <f t="shared" si="47"/>
        <v>38500</v>
      </c>
    </row>
    <row r="746" spans="1:7" x14ac:dyDescent="0.25">
      <c r="A746" t="s">
        <v>745</v>
      </c>
      <c r="B746" t="s">
        <v>1007</v>
      </c>
      <c r="C746" t="str">
        <f t="shared" si="44"/>
        <v>Mobile and Wearables</v>
      </c>
      <c r="D746" t="str">
        <f>IF(B168="Smartphone",
"Apple",
IF(B168="Smartwatch",
"Apple",
IF(B168="Laptop",
"Lenovo",
IF(B168="Desktop PC",
"Apple",
IF(B168="Tablet",
"Apple",
IF(B168="Headphone",
"Sony",
IF(B168="Camera",
"Sony",
IF(B168="Printer",
"HP",
IF(B168="External Hard Disk",
"Seagate",
"Other")))))))))</f>
        <v>Sony</v>
      </c>
      <c r="E746" t="str">
        <f t="shared" si="45"/>
        <v>Supertron Electronics</v>
      </c>
      <c r="F746">
        <f t="shared" si="46"/>
        <v>60000</v>
      </c>
      <c r="G746">
        <f t="shared" si="47"/>
        <v>66000</v>
      </c>
    </row>
    <row r="747" spans="1:7" x14ac:dyDescent="0.25">
      <c r="A747" t="s">
        <v>746</v>
      </c>
      <c r="B747" t="s">
        <v>1004</v>
      </c>
      <c r="C747" t="str">
        <f t="shared" si="44"/>
        <v>Electronics (Computing Devices)</v>
      </c>
      <c r="D747" t="str">
        <f>IF(B169="Smartphone",
"Apple",
IF(B169="Smartwatch",
"Apple",
IF(B169="Laptop",
"Lenovo",
IF(B169="Desktop PC",
"Apple",
IF(B169="Tablet",
"Apple",
IF(B169="Headphone",
"Sony",
IF(B169="Camera",
"Sony",
IF(B169="Printer",
"HP",
IF(B169="External Hard Disk",
"Seagate",
"Other")))))))))</f>
        <v>Apple</v>
      </c>
      <c r="E747" t="str">
        <f t="shared" si="45"/>
        <v>Redington India</v>
      </c>
      <c r="F747">
        <f t="shared" si="46"/>
        <v>40000</v>
      </c>
      <c r="G747">
        <f t="shared" si="47"/>
        <v>44000</v>
      </c>
    </row>
    <row r="748" spans="1:7" x14ac:dyDescent="0.25">
      <c r="A748" t="s">
        <v>747</v>
      </c>
      <c r="B748" t="s">
        <v>1004</v>
      </c>
      <c r="C748" t="str">
        <f t="shared" si="44"/>
        <v>Electronics (Computing Devices)</v>
      </c>
      <c r="D748" t="str">
        <f>IF(B170="Smartphone",
"Apple",
IF(B170="Smartwatch",
"Apple",
IF(B170="Laptop",
"Lenovo",
IF(B170="Desktop PC",
"Apple",
IF(B170="Tablet",
"Apple",
IF(B170="Headphone",
"Sony",
IF(B170="Camera",
"Sony",
IF(B170="Printer",
"HP",
IF(B170="External Hard Disk",
"Seagate",
"Other")))))))))</f>
        <v>Seagate</v>
      </c>
      <c r="E748" t="str">
        <f t="shared" si="45"/>
        <v>Ingram Micron India</v>
      </c>
      <c r="F748">
        <f t="shared" si="46"/>
        <v>35000</v>
      </c>
      <c r="G748">
        <f t="shared" si="47"/>
        <v>38500</v>
      </c>
    </row>
    <row r="749" spans="1:7" x14ac:dyDescent="0.25">
      <c r="A749" t="s">
        <v>748</v>
      </c>
      <c r="B749" t="s">
        <v>1004</v>
      </c>
      <c r="C749" t="str">
        <f t="shared" si="44"/>
        <v>Electronics (Computing Devices)</v>
      </c>
      <c r="D749" t="str">
        <f>IF(B171="Smartphone",
"Apple",
IF(B171="Smartwatch",
"Apple",
IF(B171="Laptop",
"Lenovo",
IF(B171="Desktop PC",
"Apple",
IF(B171="Tablet",
"Apple",
IF(B171="Headphone",
"Sony",
IF(B171="Camera",
"Sony",
IF(B171="Printer",
"HP",
IF(B171="External Hard Disk",
"Seagate",
"Other")))))))))</f>
        <v>HP</v>
      </c>
      <c r="E749" t="str">
        <f t="shared" si="45"/>
        <v>Savex Technologies</v>
      </c>
      <c r="F749">
        <f t="shared" si="46"/>
        <v>40000</v>
      </c>
      <c r="G749">
        <f t="shared" si="47"/>
        <v>44000</v>
      </c>
    </row>
    <row r="750" spans="1:7" x14ac:dyDescent="0.25">
      <c r="A750" t="s">
        <v>749</v>
      </c>
      <c r="B750" t="s">
        <v>1005</v>
      </c>
      <c r="C750" t="str">
        <f t="shared" si="44"/>
        <v>Electronics (Computing Devices)</v>
      </c>
      <c r="D750" t="str">
        <f>IF(B172="Smartphone",
"Apple",
IF(B172="Smartwatch",
"Apple",
IF(B172="Laptop",
"Lenovo",
IF(B172="Desktop PC",
"Apple",
IF(B172="Tablet",
"Apple",
IF(B172="Headphone",
"Sony",
IF(B172="Camera",
"Sony",
IF(B172="Printer",
"HP",
IF(B172="External Hard Disk",
"Seagate",
"Other")))))))))</f>
        <v>Sony</v>
      </c>
      <c r="E750" t="str">
        <f t="shared" si="45"/>
        <v>Supertron Electronics</v>
      </c>
      <c r="F750">
        <f t="shared" si="46"/>
        <v>60000</v>
      </c>
      <c r="G750">
        <f t="shared" si="47"/>
        <v>66000</v>
      </c>
    </row>
    <row r="751" spans="1:7" x14ac:dyDescent="0.25">
      <c r="A751" t="s">
        <v>750</v>
      </c>
      <c r="B751" t="s">
        <v>1010</v>
      </c>
      <c r="C751" t="str">
        <f t="shared" si="44"/>
        <v>Office Equipments</v>
      </c>
      <c r="D751" t="str">
        <f>IF(B173="Smartphone",
"Apple",
IF(B173="Smartwatch",
"Apple",
IF(B173="Laptop",
"Lenovo",
IF(B173="Desktop PC",
"Apple",
IF(B173="Tablet",
"Apple",
IF(B173="Headphone",
"Sony",
IF(B173="Camera",
"Sony",
IF(B173="Printer",
"HP",
IF(B173="External Hard Disk",
"Seagate",
"Other")))))))))</f>
        <v>Apple</v>
      </c>
      <c r="E751" t="str">
        <f t="shared" si="45"/>
        <v>Redington India</v>
      </c>
      <c r="F751">
        <f t="shared" si="46"/>
        <v>40000</v>
      </c>
      <c r="G751">
        <f t="shared" si="47"/>
        <v>44000</v>
      </c>
    </row>
    <row r="752" spans="1:7" x14ac:dyDescent="0.25">
      <c r="A752" t="s">
        <v>751</v>
      </c>
      <c r="B752" t="s">
        <v>1013</v>
      </c>
      <c r="C752" t="str">
        <f t="shared" si="44"/>
        <v>Storage Devices</v>
      </c>
      <c r="D752" t="str">
        <f>IF(B174="Smartphone",
"Apple",
IF(B174="Smartwatch",
"Apple",
IF(B174="Laptop",
"Lenovo",
IF(B174="Desktop PC",
"Apple",
IF(B174="Tablet",
"Apple",
IF(B174="Headphone",
"Sony",
IF(B174="Camera",
"Sony",
IF(B174="Printer",
"HP",
IF(B174="External Hard Disk",
"Seagate",
"Other")))))))))</f>
        <v>Apple</v>
      </c>
      <c r="E752" t="str">
        <f t="shared" si="45"/>
        <v>Redington India</v>
      </c>
      <c r="F752">
        <f t="shared" si="46"/>
        <v>40000</v>
      </c>
      <c r="G752">
        <f t="shared" si="47"/>
        <v>44000</v>
      </c>
    </row>
    <row r="753" spans="1:7" x14ac:dyDescent="0.25">
      <c r="A753" t="s">
        <v>752</v>
      </c>
      <c r="B753" t="s">
        <v>1003</v>
      </c>
      <c r="C753" t="str">
        <f t="shared" si="44"/>
        <v>Electronics (Computing Devices)</v>
      </c>
      <c r="D753" t="str">
        <f>IF(B175="Smartphone",
"Apple",
IF(B175="Smartwatch",
"Apple",
IF(B175="Laptop",
"Lenovo",
IF(B175="Desktop PC",
"Apple",
IF(B175="Tablet",
"Apple",
IF(B175="Headphone",
"Sony",
IF(B175="Camera",
"Sony",
IF(B175="Printer",
"HP",
IF(B175="External Hard Disk",
"Seagate",
"Other")))))))))</f>
        <v>Sony</v>
      </c>
      <c r="E753" t="str">
        <f t="shared" si="45"/>
        <v>Supertron Electronics</v>
      </c>
      <c r="F753">
        <f t="shared" si="46"/>
        <v>60000</v>
      </c>
      <c r="G753">
        <f t="shared" si="47"/>
        <v>66000</v>
      </c>
    </row>
    <row r="754" spans="1:7" x14ac:dyDescent="0.25">
      <c r="A754" t="s">
        <v>753</v>
      </c>
      <c r="B754" t="s">
        <v>1004</v>
      </c>
      <c r="C754" t="str">
        <f t="shared" si="44"/>
        <v>Electronics (Computing Devices)</v>
      </c>
      <c r="D754" t="str">
        <f>IF(B176="Smartphone",
"Apple",
IF(B176="Smartwatch",
"Apple",
IF(B176="Laptop",
"Lenovo",
IF(B176="Desktop PC",
"Apple",
IF(B176="Tablet",
"Apple",
IF(B176="Headphone",
"Sony",
IF(B176="Camera",
"Sony",
IF(B176="Printer",
"HP",
IF(B176="External Hard Disk",
"Seagate",
"Other")))))))))</f>
        <v>Seagate</v>
      </c>
      <c r="E754" t="str">
        <f t="shared" si="45"/>
        <v>Ingram Micron India</v>
      </c>
      <c r="F754">
        <f t="shared" si="46"/>
        <v>35000</v>
      </c>
      <c r="G754">
        <f t="shared" si="47"/>
        <v>38500</v>
      </c>
    </row>
    <row r="755" spans="1:7" x14ac:dyDescent="0.25">
      <c r="A755" t="s">
        <v>754</v>
      </c>
      <c r="B755" t="s">
        <v>1013</v>
      </c>
      <c r="C755" t="str">
        <f t="shared" si="44"/>
        <v>Storage Devices</v>
      </c>
      <c r="D755" t="str">
        <f>IF(B177="Smartphone",
"Apple",
IF(B177="Smartwatch",
"Apple",
IF(B177="Laptop",
"Lenovo",
IF(B177="Desktop PC",
"Apple",
IF(B177="Tablet",
"Apple",
IF(B177="Headphone",
"Sony",
IF(B177="Camera",
"Sony",
IF(B177="Printer",
"HP",
IF(B177="External Hard Disk",
"Seagate",
"Other")))))))))</f>
        <v>HP</v>
      </c>
      <c r="E755" t="str">
        <f t="shared" si="45"/>
        <v>Savex Technologies</v>
      </c>
      <c r="F755">
        <f t="shared" si="46"/>
        <v>40000</v>
      </c>
      <c r="G755">
        <f t="shared" si="47"/>
        <v>44000</v>
      </c>
    </row>
    <row r="756" spans="1:7" x14ac:dyDescent="0.25">
      <c r="A756" t="s">
        <v>755</v>
      </c>
      <c r="B756" t="s">
        <v>1003</v>
      </c>
      <c r="C756" t="str">
        <f t="shared" si="44"/>
        <v>Electronics (Computing Devices)</v>
      </c>
      <c r="D756" t="str">
        <f>IF(B178="Smartphone",
"Apple",
IF(B178="Smartwatch",
"Apple",
IF(B178="Laptop",
"Lenovo",
IF(B178="Desktop PC",
"Apple",
IF(B178="Tablet",
"Apple",
IF(B178="Headphone",
"Sony",
IF(B178="Camera",
"Sony",
IF(B178="Printer",
"HP",
IF(B178="External Hard Disk",
"Seagate",
"Other")))))))))</f>
        <v>Apple</v>
      </c>
      <c r="E756" t="str">
        <f t="shared" si="45"/>
        <v>Redington India</v>
      </c>
      <c r="F756">
        <f t="shared" si="46"/>
        <v>40000</v>
      </c>
      <c r="G756">
        <f t="shared" si="47"/>
        <v>44000</v>
      </c>
    </row>
    <row r="757" spans="1:7" x14ac:dyDescent="0.25">
      <c r="A757" t="s">
        <v>756</v>
      </c>
      <c r="B757" t="s">
        <v>1012</v>
      </c>
      <c r="C757" t="str">
        <f t="shared" si="44"/>
        <v>Audio Devices</v>
      </c>
      <c r="D757" t="str">
        <f>IF(B179="Smartphone",
"Apple",
IF(B179="Smartwatch",
"Apple",
IF(B179="Laptop",
"Lenovo",
IF(B179="Desktop PC",
"Apple",
IF(B179="Tablet",
"Apple",
IF(B179="Headphone",
"Sony",
IF(B179="Camera",
"Sony",
IF(B179="Printer",
"HP",
IF(B179="External Hard Disk",
"Seagate",
"Other")))))))))</f>
        <v>Seagate</v>
      </c>
      <c r="E757" t="str">
        <f t="shared" si="45"/>
        <v>Ingram Micron India</v>
      </c>
      <c r="F757">
        <f t="shared" si="46"/>
        <v>35000</v>
      </c>
      <c r="G757">
        <f t="shared" si="47"/>
        <v>38500</v>
      </c>
    </row>
    <row r="758" spans="1:7" x14ac:dyDescent="0.25">
      <c r="A758" t="s">
        <v>757</v>
      </c>
      <c r="B758" t="s">
        <v>1012</v>
      </c>
      <c r="C758" t="str">
        <f t="shared" si="44"/>
        <v>Audio Devices</v>
      </c>
      <c r="D758" t="str">
        <f>IF(B180="Smartphone",
"Apple",
IF(B180="Smartwatch",
"Apple",
IF(B180="Laptop",
"Lenovo",
IF(B180="Desktop PC",
"Apple",
IF(B180="Tablet",
"Apple",
IF(B180="Headphone",
"Sony",
IF(B180="Camera",
"Sony",
IF(B180="Printer",
"HP",
IF(B180="External Hard Disk",
"Seagate",
"Other")))))))))</f>
        <v>Apple</v>
      </c>
      <c r="E758" t="str">
        <f t="shared" si="45"/>
        <v>Redington India</v>
      </c>
      <c r="F758">
        <f t="shared" si="46"/>
        <v>40000</v>
      </c>
      <c r="G758">
        <f t="shared" si="47"/>
        <v>44000</v>
      </c>
    </row>
    <row r="759" spans="1:7" x14ac:dyDescent="0.25">
      <c r="A759" t="s">
        <v>758</v>
      </c>
      <c r="B759" t="s">
        <v>1004</v>
      </c>
      <c r="C759" t="str">
        <f t="shared" si="44"/>
        <v>Electronics (Computing Devices)</v>
      </c>
      <c r="D759" t="str">
        <f>IF(B181="Smartphone",
"Apple",
IF(B181="Smartwatch",
"Apple",
IF(B181="Laptop",
"Lenovo",
IF(B181="Desktop PC",
"Apple",
IF(B181="Tablet",
"Apple",
IF(B181="Headphone",
"Sony",
IF(B181="Camera",
"Sony",
IF(B181="Printer",
"HP",
IF(B181="External Hard Disk",
"Seagate",
"Other")))))))))</f>
        <v>HP</v>
      </c>
      <c r="E759" t="str">
        <f t="shared" si="45"/>
        <v>Savex Technologies</v>
      </c>
      <c r="F759">
        <f t="shared" si="46"/>
        <v>40000</v>
      </c>
      <c r="G759">
        <f t="shared" si="47"/>
        <v>44000</v>
      </c>
    </row>
    <row r="760" spans="1:7" x14ac:dyDescent="0.25">
      <c r="A760" t="s">
        <v>759</v>
      </c>
      <c r="B760" t="s">
        <v>1007</v>
      </c>
      <c r="C760" t="str">
        <f t="shared" si="44"/>
        <v>Mobile and Wearables</v>
      </c>
      <c r="D760" t="str">
        <f>IF(B182="Smartphone",
"Apple",
IF(B182="Smartwatch",
"Apple",
IF(B182="Laptop",
"Lenovo",
IF(B182="Desktop PC",
"Apple",
IF(B182="Tablet",
"Apple",
IF(B182="Headphone",
"Sony",
IF(B182="Camera",
"Sony",
IF(B182="Printer",
"HP",
IF(B182="External Hard Disk",
"Seagate",
"Other")))))))))</f>
        <v>HP</v>
      </c>
      <c r="E760" t="str">
        <f t="shared" si="45"/>
        <v>Savex Technologies</v>
      </c>
      <c r="F760">
        <f t="shared" si="46"/>
        <v>40000</v>
      </c>
      <c r="G760">
        <f t="shared" si="47"/>
        <v>44000</v>
      </c>
    </row>
    <row r="761" spans="1:7" x14ac:dyDescent="0.25">
      <c r="A761" t="s">
        <v>760</v>
      </c>
      <c r="B761" t="s">
        <v>1003</v>
      </c>
      <c r="C761" t="str">
        <f t="shared" si="44"/>
        <v>Electronics (Computing Devices)</v>
      </c>
      <c r="D761" t="str">
        <f>IF(B183="Smartphone",
"Apple",
IF(B183="Smartwatch",
"Apple",
IF(B183="Laptop",
"Lenovo",
IF(B183="Desktop PC",
"Apple",
IF(B183="Tablet",
"Apple",
IF(B183="Headphone",
"Sony",
IF(B183="Camera",
"Sony",
IF(B183="Printer",
"HP",
IF(B183="External Hard Disk",
"Seagate",
"Other")))))))))</f>
        <v>Apple</v>
      </c>
      <c r="E761" t="str">
        <f t="shared" si="45"/>
        <v>Redington India</v>
      </c>
      <c r="F761">
        <f t="shared" si="46"/>
        <v>40000</v>
      </c>
      <c r="G761">
        <f t="shared" si="47"/>
        <v>44000</v>
      </c>
    </row>
    <row r="762" spans="1:7" x14ac:dyDescent="0.25">
      <c r="A762" t="s">
        <v>761</v>
      </c>
      <c r="B762" t="s">
        <v>1001</v>
      </c>
      <c r="C762" t="str">
        <f t="shared" si="44"/>
        <v>Mobile and Wearables</v>
      </c>
      <c r="D762" t="str">
        <f>IF(B184="Smartphone",
"Apple",
IF(B184="Smartwatch",
"Apple",
IF(B184="Laptop",
"Lenovo",
IF(B184="Desktop PC",
"Apple",
IF(B184="Tablet",
"Apple",
IF(B184="Headphone",
"Sony",
IF(B184="Camera",
"Sony",
IF(B184="Printer",
"HP",
IF(B184="External Hard Disk",
"Seagate",
"Other")))))))))</f>
        <v>Apple</v>
      </c>
      <c r="E762" t="str">
        <f t="shared" si="45"/>
        <v>Redington India</v>
      </c>
      <c r="F762">
        <f t="shared" si="46"/>
        <v>40000</v>
      </c>
      <c r="G762">
        <f t="shared" si="47"/>
        <v>44000</v>
      </c>
    </row>
    <row r="763" spans="1:7" x14ac:dyDescent="0.25">
      <c r="A763" t="s">
        <v>762</v>
      </c>
      <c r="B763" t="s">
        <v>1009</v>
      </c>
      <c r="C763" t="str">
        <f t="shared" si="44"/>
        <v>Office Equipments</v>
      </c>
      <c r="D763" t="str">
        <f>IF(B185="Smartphone",
"Apple",
IF(B185="Smartwatch",
"Apple",
IF(B185="Laptop",
"Lenovo",
IF(B185="Desktop PC",
"Apple",
IF(B185="Tablet",
"Apple",
IF(B185="Headphone",
"Sony",
IF(B185="Camera",
"Sony",
IF(B185="Printer",
"HP",
IF(B185="External Hard Disk",
"Seagate",
"Other")))))))))</f>
        <v>Apple</v>
      </c>
      <c r="E763" t="str">
        <f t="shared" si="45"/>
        <v>Redington India</v>
      </c>
      <c r="F763">
        <f t="shared" si="46"/>
        <v>40000</v>
      </c>
      <c r="G763">
        <f t="shared" si="47"/>
        <v>44000</v>
      </c>
    </row>
    <row r="764" spans="1:7" x14ac:dyDescent="0.25">
      <c r="A764" t="s">
        <v>763</v>
      </c>
      <c r="B764" t="s">
        <v>1012</v>
      </c>
      <c r="C764" t="str">
        <f t="shared" si="44"/>
        <v>Audio Devices</v>
      </c>
      <c r="D764" t="str">
        <f>IF(B186="Smartphone",
"Apple",
IF(B186="Smartwatch",
"Apple",
IF(B186="Laptop",
"Lenovo",
IF(B186="Desktop PC",
"Apple",
IF(B186="Tablet",
"Apple",
IF(B186="Headphone",
"Sony",
IF(B186="Camera",
"Sony",
IF(B186="Printer",
"HP",
IF(B186="External Hard Disk",
"Seagate",
"Other")))))))))</f>
        <v>Lenovo</v>
      </c>
      <c r="E764" t="str">
        <f t="shared" si="45"/>
        <v>Savex Technologies</v>
      </c>
      <c r="F764">
        <f t="shared" si="46"/>
        <v>45000</v>
      </c>
      <c r="G764">
        <f t="shared" si="47"/>
        <v>49500.000000000007</v>
      </c>
    </row>
    <row r="765" spans="1:7" x14ac:dyDescent="0.25">
      <c r="A765" t="s">
        <v>764</v>
      </c>
      <c r="B765" t="s">
        <v>1012</v>
      </c>
      <c r="C765" t="str">
        <f t="shared" si="44"/>
        <v>Audio Devices</v>
      </c>
      <c r="D765" t="str">
        <f>IF(B187="Smartphone",
"Apple",
IF(B187="Smartwatch",
"Apple",
IF(B187="Laptop",
"Lenovo",
IF(B187="Desktop PC",
"Apple",
IF(B187="Tablet",
"Apple",
IF(B187="Headphone",
"Sony",
IF(B187="Camera",
"Sony",
IF(B187="Printer",
"HP",
IF(B187="External Hard Disk",
"Seagate",
"Other")))))))))</f>
        <v>Other</v>
      </c>
      <c r="E765" t="str">
        <f t="shared" si="45"/>
        <v>Ingram Micron India</v>
      </c>
      <c r="F765">
        <f t="shared" si="46"/>
        <v>35000</v>
      </c>
      <c r="G765">
        <f t="shared" si="47"/>
        <v>38500</v>
      </c>
    </row>
    <row r="766" spans="1:7" x14ac:dyDescent="0.25">
      <c r="A766" t="s">
        <v>765</v>
      </c>
      <c r="B766" t="s">
        <v>1012</v>
      </c>
      <c r="C766" t="str">
        <f t="shared" si="44"/>
        <v>Audio Devices</v>
      </c>
      <c r="D766" t="str">
        <f>IF(B188="Smartphone",
"Apple",
IF(B188="Smartwatch",
"Apple",
IF(B188="Laptop",
"Lenovo",
IF(B188="Desktop PC",
"Apple",
IF(B188="Tablet",
"Apple",
IF(B188="Headphone",
"Sony",
IF(B188="Camera",
"Sony",
IF(B188="Printer",
"HP",
IF(B188="External Hard Disk",
"Seagate",
"Other")))))))))</f>
        <v>Apple</v>
      </c>
      <c r="E766" t="str">
        <f t="shared" si="45"/>
        <v>Redington India</v>
      </c>
      <c r="F766">
        <f t="shared" si="46"/>
        <v>40000</v>
      </c>
      <c r="G766">
        <f t="shared" si="47"/>
        <v>44000</v>
      </c>
    </row>
    <row r="767" spans="1:7" x14ac:dyDescent="0.25">
      <c r="A767" t="s">
        <v>766</v>
      </c>
      <c r="B767" t="s">
        <v>1005</v>
      </c>
      <c r="C767" t="str">
        <f t="shared" si="44"/>
        <v>Electronics (Computing Devices)</v>
      </c>
      <c r="D767" t="str">
        <f>IF(B189="Smartphone",
"Apple",
IF(B189="Smartwatch",
"Apple",
IF(B189="Laptop",
"Lenovo",
IF(B189="Desktop PC",
"Apple",
IF(B189="Tablet",
"Apple",
IF(B189="Headphone",
"Sony",
IF(B189="Camera",
"Sony",
IF(B189="Printer",
"HP",
IF(B189="External Hard Disk",
"Seagate",
"Other")))))))))</f>
        <v>Lenovo</v>
      </c>
      <c r="E767" t="str">
        <f t="shared" si="45"/>
        <v>Savex Technologies</v>
      </c>
      <c r="F767">
        <f t="shared" si="46"/>
        <v>45000</v>
      </c>
      <c r="G767">
        <f t="shared" si="47"/>
        <v>49500.000000000007</v>
      </c>
    </row>
    <row r="768" spans="1:7" x14ac:dyDescent="0.25">
      <c r="A768" t="s">
        <v>767</v>
      </c>
      <c r="B768" t="s">
        <v>1001</v>
      </c>
      <c r="C768" t="str">
        <f t="shared" si="44"/>
        <v>Mobile and Wearables</v>
      </c>
      <c r="D768" t="str">
        <f>IF(B190="Smartphone",
"Apple",
IF(B190="Smartwatch",
"Apple",
IF(B190="Laptop",
"Lenovo",
IF(B190="Desktop PC",
"Apple",
IF(B190="Tablet",
"Apple",
IF(B190="Headphone",
"Sony",
IF(B190="Camera",
"Sony",
IF(B190="Printer",
"HP",
IF(B190="External Hard Disk",
"Seagate",
"Other")))))))))</f>
        <v>Apple</v>
      </c>
      <c r="E768" t="str">
        <f t="shared" si="45"/>
        <v>Redington India</v>
      </c>
      <c r="F768">
        <f t="shared" si="46"/>
        <v>40000</v>
      </c>
      <c r="G768">
        <f t="shared" si="47"/>
        <v>44000</v>
      </c>
    </row>
    <row r="769" spans="1:7" x14ac:dyDescent="0.25">
      <c r="A769" t="s">
        <v>768</v>
      </c>
      <c r="B769" t="s">
        <v>1005</v>
      </c>
      <c r="C769" t="str">
        <f t="shared" si="44"/>
        <v>Electronics (Computing Devices)</v>
      </c>
      <c r="D769" t="str">
        <f>IF(B191="Smartphone",
"Apple",
IF(B191="Smartwatch",
"Apple",
IF(B191="Laptop",
"Lenovo",
IF(B191="Desktop PC",
"Apple",
IF(B191="Tablet",
"Apple",
IF(B191="Headphone",
"Sony",
IF(B191="Camera",
"Sony",
IF(B191="Printer",
"HP",
IF(B191="External Hard Disk",
"Seagate",
"Other")))))))))</f>
        <v>HP</v>
      </c>
      <c r="E769" t="str">
        <f t="shared" si="45"/>
        <v>Savex Technologies</v>
      </c>
      <c r="F769">
        <f t="shared" si="46"/>
        <v>40000</v>
      </c>
      <c r="G769">
        <f t="shared" si="47"/>
        <v>44000</v>
      </c>
    </row>
    <row r="770" spans="1:7" x14ac:dyDescent="0.25">
      <c r="A770" t="s">
        <v>769</v>
      </c>
      <c r="B770" t="s">
        <v>1007</v>
      </c>
      <c r="C770" t="str">
        <f t="shared" si="44"/>
        <v>Mobile and Wearables</v>
      </c>
      <c r="D770" t="str">
        <f>IF(B192="Smartphone",
"Apple",
IF(B192="Smartwatch",
"Apple",
IF(B192="Laptop",
"Lenovo",
IF(B192="Desktop PC",
"Apple",
IF(B192="Tablet",
"Apple",
IF(B192="Headphone",
"Sony",
IF(B192="Camera",
"Sony",
IF(B192="Printer",
"HP",
IF(B192="External Hard Disk",
"Seagate",
"Other")))))))))</f>
        <v>Seagate</v>
      </c>
      <c r="E770" t="str">
        <f t="shared" si="45"/>
        <v>Ingram Micron India</v>
      </c>
      <c r="F770">
        <f t="shared" si="46"/>
        <v>35000</v>
      </c>
      <c r="G770">
        <f t="shared" si="47"/>
        <v>38500</v>
      </c>
    </row>
    <row r="771" spans="1:7" x14ac:dyDescent="0.25">
      <c r="A771" t="s">
        <v>770</v>
      </c>
      <c r="B771" t="s">
        <v>1003</v>
      </c>
      <c r="C771" t="str">
        <f t="shared" ref="C771:C834" si="48">IF(OR(B771="Laptop",B771="Desktop PC",B771="Tablet",B771="E-Reader"),
"Electronics (Computing Devices)",
IF(OR(B771="Smartphone",B771="Smartwatch"),
"Mobile and Wearables",
IF(B771="Headphone",
"Audio Devices",
IF(OR(B771="Printer",B771="Camera"),
"Office Equipments",
IF(B771="External Hard Disk",
"Storage Devices",
"Other")))))</f>
        <v>Electronics (Computing Devices)</v>
      </c>
      <c r="D771" t="str">
        <f>IF(B193="Smartphone",
"Apple",
IF(B193="Smartwatch",
"Apple",
IF(B193="Laptop",
"Lenovo",
IF(B193="Desktop PC",
"Apple",
IF(B193="Tablet",
"Apple",
IF(B193="Headphone",
"Sony",
IF(B193="Camera",
"Sony",
IF(B193="Printer",
"HP",
IF(B193="External Hard Disk",
"Seagate",
"Other")))))))))</f>
        <v>HP</v>
      </c>
      <c r="E771" t="str">
        <f t="shared" ref="E771:E834" si="49">IF(D771="Apple",
"Redington India",
IF(D771="Samsung",
"Rashi Peripherals",
IF(D771="Sony",
"Supertron Electronics",
IF(OR(D771="Lenovo",D771="HP",D771="Dell"),
"Savex Technologies",
IF(C771="Printer",
"Rashi Peripherals",
IF(C771="Camera",
"Redington India",
IF(C771="External Hard Disk",
"Supertron Electronics",
"Ingram Micron India")))))))</f>
        <v>Savex Technologies</v>
      </c>
      <c r="F771">
        <f t="shared" ref="F771:F834" si="50">IF(D771="Apple",
IF(C771="Smartphone",95000,
IF(C771="Tablet",75000,
IF(C771="Laptop",150000,
IF(C771="Smartwatch",90000,40000)))),
IF(D771="Samsung",
IF(C771="Smartphone",55000,
IF(C771="Tablet",40000,
IF(C771="Smartwatch",25000,30000))),
IF(D771="Lenovo",
IF(C771="Laptop",85000,
IF(C771="Desktop PC",70000,45000)),
IF(D771="HP",
IF(C771="Printer",30000,
IF(C771="Laptop",80000,40000)),
IF(D771="Sony",
IF(C771="Headphone",15000,
IF(C771="Camera",120000,60000)),
IF(C771="External Hard Disk",
IF(D771="Seagate",7000,
IF(D771="Western Digital",8000,7500)),
35000))))))</f>
        <v>40000</v>
      </c>
      <c r="G771">
        <f t="shared" ref="G771:G834" si="51">IF(C771="Smartphone",F771*1.1,
IF(C771="Laptop",F771*1.08,
IF(C771="Tablet",F771*1.12,
IF(C771="Smartwatch",F771*1.15,
IF(C771="Desktop PC",F771*1.07,
IF(C771="Printer",F771*1.18,
IF(C771="Camera",F771*1.12,
IF(C771="Headphone",F771*1.25,
IF(C771="External Hard Disk",F771*1.2,
F771*1.1)))))))))</f>
        <v>44000</v>
      </c>
    </row>
    <row r="772" spans="1:7" x14ac:dyDescent="0.25">
      <c r="A772" t="s">
        <v>771</v>
      </c>
      <c r="B772" t="s">
        <v>1005</v>
      </c>
      <c r="C772" t="str">
        <f t="shared" si="48"/>
        <v>Electronics (Computing Devices)</v>
      </c>
      <c r="D772" t="str">
        <f>IF(B194="Smartphone",
"Apple",
IF(B194="Smartwatch",
"Apple",
IF(B194="Laptop",
"Lenovo",
IF(B194="Desktop PC",
"Apple",
IF(B194="Tablet",
"Apple",
IF(B194="Headphone",
"Sony",
IF(B194="Camera",
"Sony",
IF(B194="Printer",
"HP",
IF(B194="External Hard Disk",
"Seagate",
"Other")))))))))</f>
        <v>HP</v>
      </c>
      <c r="E772" t="str">
        <f t="shared" si="49"/>
        <v>Savex Technologies</v>
      </c>
      <c r="F772">
        <f t="shared" si="50"/>
        <v>40000</v>
      </c>
      <c r="G772">
        <f t="shared" si="51"/>
        <v>44000</v>
      </c>
    </row>
    <row r="773" spans="1:7" x14ac:dyDescent="0.25">
      <c r="A773" t="s">
        <v>772</v>
      </c>
      <c r="B773" t="s">
        <v>1005</v>
      </c>
      <c r="C773" t="str">
        <f t="shared" si="48"/>
        <v>Electronics (Computing Devices)</v>
      </c>
      <c r="D773" t="str">
        <f>IF(B195="Smartphone",
"Apple",
IF(B195="Smartwatch",
"Apple",
IF(B195="Laptop",
"Lenovo",
IF(B195="Desktop PC",
"Apple",
IF(B195="Tablet",
"Apple",
IF(B195="Headphone",
"Sony",
IF(B195="Camera",
"Sony",
IF(B195="Printer",
"HP",
IF(B195="External Hard Disk",
"Seagate",
"Other")))))))))</f>
        <v>Apple</v>
      </c>
      <c r="E773" t="str">
        <f t="shared" si="49"/>
        <v>Redington India</v>
      </c>
      <c r="F773">
        <f t="shared" si="50"/>
        <v>40000</v>
      </c>
      <c r="G773">
        <f t="shared" si="51"/>
        <v>44000</v>
      </c>
    </row>
    <row r="774" spans="1:7" x14ac:dyDescent="0.25">
      <c r="A774" t="s">
        <v>773</v>
      </c>
      <c r="B774" t="s">
        <v>1012</v>
      </c>
      <c r="C774" t="str">
        <f t="shared" si="48"/>
        <v>Audio Devices</v>
      </c>
      <c r="D774" t="str">
        <f>IF(B196="Smartphone",
"Apple",
IF(B196="Smartwatch",
"Apple",
IF(B196="Laptop",
"Lenovo",
IF(B196="Desktop PC",
"Apple",
IF(B196="Tablet",
"Apple",
IF(B196="Headphone",
"Sony",
IF(B196="Camera",
"Sony",
IF(B196="Printer",
"HP",
IF(B196="External Hard Disk",
"Seagate",
"Other")))))))))</f>
        <v>Apple</v>
      </c>
      <c r="E774" t="str">
        <f t="shared" si="49"/>
        <v>Redington India</v>
      </c>
      <c r="F774">
        <f t="shared" si="50"/>
        <v>40000</v>
      </c>
      <c r="G774">
        <f t="shared" si="51"/>
        <v>44000</v>
      </c>
    </row>
    <row r="775" spans="1:7" x14ac:dyDescent="0.25">
      <c r="A775" t="s">
        <v>774</v>
      </c>
      <c r="B775" t="s">
        <v>1002</v>
      </c>
      <c r="C775" t="str">
        <f t="shared" si="48"/>
        <v>Electronics (Computing Devices)</v>
      </c>
      <c r="D775" t="str">
        <f>IF(B197="Smartphone",
"Apple",
IF(B197="Smartwatch",
"Apple",
IF(B197="Laptop",
"Lenovo",
IF(B197="Desktop PC",
"Apple",
IF(B197="Tablet",
"Apple",
IF(B197="Headphone",
"Sony",
IF(B197="Camera",
"Sony",
IF(B197="Printer",
"HP",
IF(B197="External Hard Disk",
"Seagate",
"Other")))))))))</f>
        <v>Sony</v>
      </c>
      <c r="E775" t="str">
        <f t="shared" si="49"/>
        <v>Supertron Electronics</v>
      </c>
      <c r="F775">
        <f t="shared" si="50"/>
        <v>60000</v>
      </c>
      <c r="G775">
        <f t="shared" si="51"/>
        <v>66000</v>
      </c>
    </row>
    <row r="776" spans="1:7" x14ac:dyDescent="0.25">
      <c r="A776" t="s">
        <v>775</v>
      </c>
      <c r="B776" t="s">
        <v>1004</v>
      </c>
      <c r="C776" t="str">
        <f t="shared" si="48"/>
        <v>Electronics (Computing Devices)</v>
      </c>
      <c r="D776" t="str">
        <f>IF(B198="Smartphone",
"Apple",
IF(B198="Smartwatch",
"Apple",
IF(B198="Laptop",
"Lenovo",
IF(B198="Desktop PC",
"Apple",
IF(B198="Tablet",
"Apple",
IF(B198="Headphone",
"Sony",
IF(B198="Camera",
"Sony",
IF(B198="Printer",
"HP",
IF(B198="External Hard Disk",
"Seagate",
"Other")))))))))</f>
        <v>Apple</v>
      </c>
      <c r="E776" t="str">
        <f t="shared" si="49"/>
        <v>Redington India</v>
      </c>
      <c r="F776">
        <f t="shared" si="50"/>
        <v>40000</v>
      </c>
      <c r="G776">
        <f t="shared" si="51"/>
        <v>44000</v>
      </c>
    </row>
    <row r="777" spans="1:7" x14ac:dyDescent="0.25">
      <c r="A777" t="s">
        <v>776</v>
      </c>
      <c r="B777" t="s">
        <v>1013</v>
      </c>
      <c r="C777" t="str">
        <f t="shared" si="48"/>
        <v>Storage Devices</v>
      </c>
      <c r="D777" t="str">
        <f>IF(B199="Smartphone",
"Apple",
IF(B199="Smartwatch",
"Apple",
IF(B199="Laptop",
"Lenovo",
IF(B199="Desktop PC",
"Apple",
IF(B199="Tablet",
"Apple",
IF(B199="Headphone",
"Sony",
IF(B199="Camera",
"Sony",
IF(B199="Printer",
"HP",
IF(B199="External Hard Disk",
"Seagate",
"Other")))))))))</f>
        <v>Apple</v>
      </c>
      <c r="E777" t="str">
        <f t="shared" si="49"/>
        <v>Redington India</v>
      </c>
      <c r="F777">
        <f t="shared" si="50"/>
        <v>40000</v>
      </c>
      <c r="G777">
        <f t="shared" si="51"/>
        <v>44000</v>
      </c>
    </row>
    <row r="778" spans="1:7" x14ac:dyDescent="0.25">
      <c r="A778" t="s">
        <v>777</v>
      </c>
      <c r="B778" t="s">
        <v>1001</v>
      </c>
      <c r="C778" t="str">
        <f t="shared" si="48"/>
        <v>Mobile and Wearables</v>
      </c>
      <c r="D778" t="str">
        <f>IF(B200="Smartphone",
"Apple",
IF(B200="Smartwatch",
"Apple",
IF(B200="Laptop",
"Lenovo",
IF(B200="Desktop PC",
"Apple",
IF(B200="Tablet",
"Apple",
IF(B200="Headphone",
"Sony",
IF(B200="Camera",
"Sony",
IF(B200="Printer",
"HP",
IF(B200="External Hard Disk",
"Seagate",
"Other")))))))))</f>
        <v>Apple</v>
      </c>
      <c r="E778" t="str">
        <f t="shared" si="49"/>
        <v>Redington India</v>
      </c>
      <c r="F778">
        <f t="shared" si="50"/>
        <v>40000</v>
      </c>
      <c r="G778">
        <f t="shared" si="51"/>
        <v>44000</v>
      </c>
    </row>
    <row r="779" spans="1:7" x14ac:dyDescent="0.25">
      <c r="A779" t="s">
        <v>778</v>
      </c>
      <c r="B779" t="s">
        <v>1007</v>
      </c>
      <c r="C779" t="str">
        <f t="shared" si="48"/>
        <v>Mobile and Wearables</v>
      </c>
      <c r="D779" t="str">
        <f>IF(B201="Smartphone",
"Apple",
IF(B201="Smartwatch",
"Apple",
IF(B201="Laptop",
"Lenovo",
IF(B201="Desktop PC",
"Apple",
IF(B201="Tablet",
"Apple",
IF(B201="Headphone",
"Sony",
IF(B201="Camera",
"Sony",
IF(B201="Printer",
"HP",
IF(B201="External Hard Disk",
"Seagate",
"Other")))))))))</f>
        <v>Lenovo</v>
      </c>
      <c r="E779" t="str">
        <f t="shared" si="49"/>
        <v>Savex Technologies</v>
      </c>
      <c r="F779">
        <f t="shared" si="50"/>
        <v>45000</v>
      </c>
      <c r="G779">
        <f t="shared" si="51"/>
        <v>49500.000000000007</v>
      </c>
    </row>
    <row r="780" spans="1:7" x14ac:dyDescent="0.25">
      <c r="A780" t="s">
        <v>779</v>
      </c>
      <c r="B780" t="s">
        <v>1004</v>
      </c>
      <c r="C780" t="str">
        <f t="shared" si="48"/>
        <v>Electronics (Computing Devices)</v>
      </c>
      <c r="D780" t="str">
        <f>IF(B202="Smartphone",
"Apple",
IF(B202="Smartwatch",
"Apple",
IF(B202="Laptop",
"Lenovo",
IF(B202="Desktop PC",
"Apple",
IF(B202="Tablet",
"Apple",
IF(B202="Headphone",
"Sony",
IF(B202="Camera",
"Sony",
IF(B202="Printer",
"HP",
IF(B202="External Hard Disk",
"Seagate",
"Other")))))))))</f>
        <v>Sony</v>
      </c>
      <c r="E780" t="str">
        <f t="shared" si="49"/>
        <v>Supertron Electronics</v>
      </c>
      <c r="F780">
        <f t="shared" si="50"/>
        <v>60000</v>
      </c>
      <c r="G780">
        <f t="shared" si="51"/>
        <v>66000</v>
      </c>
    </row>
    <row r="781" spans="1:7" x14ac:dyDescent="0.25">
      <c r="A781" t="s">
        <v>780</v>
      </c>
      <c r="B781" t="s">
        <v>1013</v>
      </c>
      <c r="C781" t="str">
        <f t="shared" si="48"/>
        <v>Storage Devices</v>
      </c>
      <c r="D781" t="str">
        <f>IF(B203="Smartphone",
"Apple",
IF(B203="Smartwatch",
"Apple",
IF(B203="Laptop",
"Lenovo",
IF(B203="Desktop PC",
"Apple",
IF(B203="Tablet",
"Apple",
IF(B203="Headphone",
"Sony",
IF(B203="Camera",
"Sony",
IF(B203="Printer",
"HP",
IF(B203="External Hard Disk",
"Seagate",
"Other")))))))))</f>
        <v>Apple</v>
      </c>
      <c r="E781" t="str">
        <f t="shared" si="49"/>
        <v>Redington India</v>
      </c>
      <c r="F781">
        <f t="shared" si="50"/>
        <v>40000</v>
      </c>
      <c r="G781">
        <f t="shared" si="51"/>
        <v>44000</v>
      </c>
    </row>
    <row r="782" spans="1:7" x14ac:dyDescent="0.25">
      <c r="A782" t="s">
        <v>781</v>
      </c>
      <c r="B782" t="s">
        <v>1009</v>
      </c>
      <c r="C782" t="str">
        <f t="shared" si="48"/>
        <v>Office Equipments</v>
      </c>
      <c r="D782" t="str">
        <f>IF(B204="Smartphone",
"Apple",
IF(B204="Smartwatch",
"Apple",
IF(B204="Laptop",
"Lenovo",
IF(B204="Desktop PC",
"Apple",
IF(B204="Tablet",
"Apple",
IF(B204="Headphone",
"Sony",
IF(B204="Camera",
"Sony",
IF(B204="Printer",
"HP",
IF(B204="External Hard Disk",
"Seagate",
"Other")))))))))</f>
        <v>Seagate</v>
      </c>
      <c r="E782" t="str">
        <f t="shared" si="49"/>
        <v>Ingram Micron India</v>
      </c>
      <c r="F782">
        <f t="shared" si="50"/>
        <v>35000</v>
      </c>
      <c r="G782">
        <f t="shared" si="51"/>
        <v>38500</v>
      </c>
    </row>
    <row r="783" spans="1:7" x14ac:dyDescent="0.25">
      <c r="A783" t="s">
        <v>782</v>
      </c>
      <c r="B783" t="s">
        <v>1005</v>
      </c>
      <c r="C783" t="str">
        <f t="shared" si="48"/>
        <v>Electronics (Computing Devices)</v>
      </c>
      <c r="D783" t="str">
        <f>IF(B205="Smartphone",
"Apple",
IF(B205="Smartwatch",
"Apple",
IF(B205="Laptop",
"Lenovo",
IF(B205="Desktop PC",
"Apple",
IF(B205="Tablet",
"Apple",
IF(B205="Headphone",
"Sony",
IF(B205="Camera",
"Sony",
IF(B205="Printer",
"HP",
IF(B205="External Hard Disk",
"Seagate",
"Other")))))))))</f>
        <v>Apple</v>
      </c>
      <c r="E783" t="str">
        <f t="shared" si="49"/>
        <v>Redington India</v>
      </c>
      <c r="F783">
        <f t="shared" si="50"/>
        <v>40000</v>
      </c>
      <c r="G783">
        <f t="shared" si="51"/>
        <v>44000</v>
      </c>
    </row>
    <row r="784" spans="1:7" x14ac:dyDescent="0.25">
      <c r="A784" t="s">
        <v>783</v>
      </c>
      <c r="B784" t="s">
        <v>1004</v>
      </c>
      <c r="C784" t="str">
        <f t="shared" si="48"/>
        <v>Electronics (Computing Devices)</v>
      </c>
      <c r="D784" t="str">
        <f>IF(B206="Smartphone",
"Apple",
IF(B206="Smartwatch",
"Apple",
IF(B206="Laptop",
"Lenovo",
IF(B206="Desktop PC",
"Apple",
IF(B206="Tablet",
"Apple",
IF(B206="Headphone",
"Sony",
IF(B206="Camera",
"Sony",
IF(B206="Printer",
"HP",
IF(B206="External Hard Disk",
"Seagate",
"Other")))))))))</f>
        <v>HP</v>
      </c>
      <c r="E784" t="str">
        <f t="shared" si="49"/>
        <v>Savex Technologies</v>
      </c>
      <c r="F784">
        <f t="shared" si="50"/>
        <v>40000</v>
      </c>
      <c r="G784">
        <f t="shared" si="51"/>
        <v>44000</v>
      </c>
    </row>
    <row r="785" spans="1:7" x14ac:dyDescent="0.25">
      <c r="A785" t="s">
        <v>784</v>
      </c>
      <c r="B785" t="s">
        <v>1010</v>
      </c>
      <c r="C785" t="str">
        <f t="shared" si="48"/>
        <v>Office Equipments</v>
      </c>
      <c r="D785" t="str">
        <f>IF(B207="Smartphone",
"Apple",
IF(B207="Smartwatch",
"Apple",
IF(B207="Laptop",
"Lenovo",
IF(B207="Desktop PC",
"Apple",
IF(B207="Tablet",
"Apple",
IF(B207="Headphone",
"Sony",
IF(B207="Camera",
"Sony",
IF(B207="Printer",
"HP",
IF(B207="External Hard Disk",
"Seagate",
"Other")))))))))</f>
        <v>Apple</v>
      </c>
      <c r="E785" t="str">
        <f t="shared" si="49"/>
        <v>Redington India</v>
      </c>
      <c r="F785">
        <f t="shared" si="50"/>
        <v>40000</v>
      </c>
      <c r="G785">
        <f t="shared" si="51"/>
        <v>44000</v>
      </c>
    </row>
    <row r="786" spans="1:7" x14ac:dyDescent="0.25">
      <c r="A786" t="s">
        <v>785</v>
      </c>
      <c r="B786" t="s">
        <v>1013</v>
      </c>
      <c r="C786" t="str">
        <f t="shared" si="48"/>
        <v>Storage Devices</v>
      </c>
      <c r="D786" t="str">
        <f>IF(B208="Smartphone",
"Apple",
IF(B208="Smartwatch",
"Apple",
IF(B208="Laptop",
"Lenovo",
IF(B208="Desktop PC",
"Apple",
IF(B208="Tablet",
"Apple",
IF(B208="Headphone",
"Sony",
IF(B208="Camera",
"Sony",
IF(B208="Printer",
"HP",
IF(B208="External Hard Disk",
"Seagate",
"Other")))))))))</f>
        <v>Seagate</v>
      </c>
      <c r="E786" t="str">
        <f t="shared" si="49"/>
        <v>Ingram Micron India</v>
      </c>
      <c r="F786">
        <f t="shared" si="50"/>
        <v>35000</v>
      </c>
      <c r="G786">
        <f t="shared" si="51"/>
        <v>38500</v>
      </c>
    </row>
    <row r="787" spans="1:7" x14ac:dyDescent="0.25">
      <c r="A787" t="s">
        <v>786</v>
      </c>
      <c r="B787" t="s">
        <v>1013</v>
      </c>
      <c r="C787" t="str">
        <f t="shared" si="48"/>
        <v>Storage Devices</v>
      </c>
      <c r="D787" t="str">
        <f>IF(B209="Smartphone",
"Apple",
IF(B209="Smartwatch",
"Apple",
IF(B209="Laptop",
"Lenovo",
IF(B209="Desktop PC",
"Apple",
IF(B209="Tablet",
"Apple",
IF(B209="Headphone",
"Sony",
IF(B209="Camera",
"Sony",
IF(B209="Printer",
"HP",
IF(B209="External Hard Disk",
"Seagate",
"Other")))))))))</f>
        <v>Apple</v>
      </c>
      <c r="E787" t="str">
        <f t="shared" si="49"/>
        <v>Redington India</v>
      </c>
      <c r="F787">
        <f t="shared" si="50"/>
        <v>40000</v>
      </c>
      <c r="G787">
        <f t="shared" si="51"/>
        <v>44000</v>
      </c>
    </row>
    <row r="788" spans="1:7" x14ac:dyDescent="0.25">
      <c r="A788" t="s">
        <v>787</v>
      </c>
      <c r="B788" t="s">
        <v>1010</v>
      </c>
      <c r="C788" t="str">
        <f t="shared" si="48"/>
        <v>Office Equipments</v>
      </c>
      <c r="D788" t="str">
        <f>IF(B210="Smartphone",
"Apple",
IF(B210="Smartwatch",
"Apple",
IF(B210="Laptop",
"Lenovo",
IF(B210="Desktop PC",
"Apple",
IF(B210="Tablet",
"Apple",
IF(B210="Headphone",
"Sony",
IF(B210="Camera",
"Sony",
IF(B210="Printer",
"HP",
IF(B210="External Hard Disk",
"Seagate",
"Other")))))))))</f>
        <v>Other</v>
      </c>
      <c r="E788" t="str">
        <f t="shared" si="49"/>
        <v>Ingram Micron India</v>
      </c>
      <c r="F788">
        <f t="shared" si="50"/>
        <v>35000</v>
      </c>
      <c r="G788">
        <f t="shared" si="51"/>
        <v>38500</v>
      </c>
    </row>
    <row r="789" spans="1:7" x14ac:dyDescent="0.25">
      <c r="A789" t="s">
        <v>788</v>
      </c>
      <c r="B789" t="s">
        <v>1010</v>
      </c>
      <c r="C789" t="str">
        <f t="shared" si="48"/>
        <v>Office Equipments</v>
      </c>
      <c r="D789" t="str">
        <f>IF(B211="Smartphone",
"Apple",
IF(B211="Smartwatch",
"Apple",
IF(B211="Laptop",
"Lenovo",
IF(B211="Desktop PC",
"Apple",
IF(B211="Tablet",
"Apple",
IF(B211="Headphone",
"Sony",
IF(B211="Camera",
"Sony",
IF(B211="Printer",
"HP",
IF(B211="External Hard Disk",
"Seagate",
"Other")))))))))</f>
        <v>HP</v>
      </c>
      <c r="E789" t="str">
        <f t="shared" si="49"/>
        <v>Savex Technologies</v>
      </c>
      <c r="F789">
        <f t="shared" si="50"/>
        <v>40000</v>
      </c>
      <c r="G789">
        <f t="shared" si="51"/>
        <v>44000</v>
      </c>
    </row>
    <row r="790" spans="1:7" x14ac:dyDescent="0.25">
      <c r="A790" t="s">
        <v>789</v>
      </c>
      <c r="B790" t="s">
        <v>1002</v>
      </c>
      <c r="C790" t="str">
        <f t="shared" si="48"/>
        <v>Electronics (Computing Devices)</v>
      </c>
      <c r="D790" t="str">
        <f>IF(B212="Smartphone",
"Apple",
IF(B212="Smartwatch",
"Apple",
IF(B212="Laptop",
"Lenovo",
IF(B212="Desktop PC",
"Apple",
IF(B212="Tablet",
"Apple",
IF(B212="Headphone",
"Sony",
IF(B212="Camera",
"Sony",
IF(B212="Printer",
"HP",
IF(B212="External Hard Disk",
"Seagate",
"Other")))))))))</f>
        <v>Apple</v>
      </c>
      <c r="E790" t="str">
        <f t="shared" si="49"/>
        <v>Redington India</v>
      </c>
      <c r="F790">
        <f t="shared" si="50"/>
        <v>40000</v>
      </c>
      <c r="G790">
        <f t="shared" si="51"/>
        <v>44000</v>
      </c>
    </row>
    <row r="791" spans="1:7" x14ac:dyDescent="0.25">
      <c r="A791" t="s">
        <v>790</v>
      </c>
      <c r="B791" t="s">
        <v>1009</v>
      </c>
      <c r="C791" t="str">
        <f t="shared" si="48"/>
        <v>Office Equipments</v>
      </c>
      <c r="D791" t="str">
        <f>IF(B213="Smartphone",
"Apple",
IF(B213="Smartwatch",
"Apple",
IF(B213="Laptop",
"Lenovo",
IF(B213="Desktop PC",
"Apple",
IF(B213="Tablet",
"Apple",
IF(B213="Headphone",
"Sony",
IF(B213="Camera",
"Sony",
IF(B213="Printer",
"HP",
IF(B213="External Hard Disk",
"Seagate",
"Other")))))))))</f>
        <v>Seagate</v>
      </c>
      <c r="E791" t="str">
        <f t="shared" si="49"/>
        <v>Ingram Micron India</v>
      </c>
      <c r="F791">
        <f t="shared" si="50"/>
        <v>35000</v>
      </c>
      <c r="G791">
        <f t="shared" si="51"/>
        <v>38500</v>
      </c>
    </row>
    <row r="792" spans="1:7" x14ac:dyDescent="0.25">
      <c r="A792" t="s">
        <v>791</v>
      </c>
      <c r="B792" t="s">
        <v>1013</v>
      </c>
      <c r="C792" t="str">
        <f t="shared" si="48"/>
        <v>Storage Devices</v>
      </c>
      <c r="D792" t="str">
        <f>IF(B214="Smartphone",
"Apple",
IF(B214="Smartwatch",
"Apple",
IF(B214="Laptop",
"Lenovo",
IF(B214="Desktop PC",
"Apple",
IF(B214="Tablet",
"Apple",
IF(B214="Headphone",
"Sony",
IF(B214="Camera",
"Sony",
IF(B214="Printer",
"HP",
IF(B214="External Hard Disk",
"Seagate",
"Other")))))))))</f>
        <v>Seagate</v>
      </c>
      <c r="E792" t="str">
        <f t="shared" si="49"/>
        <v>Ingram Micron India</v>
      </c>
      <c r="F792">
        <f t="shared" si="50"/>
        <v>35000</v>
      </c>
      <c r="G792">
        <f t="shared" si="51"/>
        <v>38500</v>
      </c>
    </row>
    <row r="793" spans="1:7" x14ac:dyDescent="0.25">
      <c r="A793" t="s">
        <v>792</v>
      </c>
      <c r="B793" t="s">
        <v>1004</v>
      </c>
      <c r="C793" t="str">
        <f t="shared" si="48"/>
        <v>Electronics (Computing Devices)</v>
      </c>
      <c r="D793" t="str">
        <f>IF(B215="Smartphone",
"Apple",
IF(B215="Smartwatch",
"Apple",
IF(B215="Laptop",
"Lenovo",
IF(B215="Desktop PC",
"Apple",
IF(B215="Tablet",
"Apple",
IF(B215="Headphone",
"Sony",
IF(B215="Camera",
"Sony",
IF(B215="Printer",
"HP",
IF(B215="External Hard Disk",
"Seagate",
"Other")))))))))</f>
        <v>Other</v>
      </c>
      <c r="E793" t="str">
        <f t="shared" si="49"/>
        <v>Ingram Micron India</v>
      </c>
      <c r="F793">
        <f t="shared" si="50"/>
        <v>35000</v>
      </c>
      <c r="G793">
        <f t="shared" si="51"/>
        <v>38500</v>
      </c>
    </row>
    <row r="794" spans="1:7" x14ac:dyDescent="0.25">
      <c r="A794" t="s">
        <v>793</v>
      </c>
      <c r="B794" t="s">
        <v>1013</v>
      </c>
      <c r="C794" t="str">
        <f t="shared" si="48"/>
        <v>Storage Devices</v>
      </c>
      <c r="D794" t="str">
        <f>IF(B216="Smartphone",
"Apple",
IF(B216="Smartwatch",
"Apple",
IF(B216="Laptop",
"Lenovo",
IF(B216="Desktop PC",
"Apple",
IF(B216="Tablet",
"Apple",
IF(B216="Headphone",
"Sony",
IF(B216="Camera",
"Sony",
IF(B216="Printer",
"HP",
IF(B216="External Hard Disk",
"Seagate",
"Other")))))))))</f>
        <v>Apple</v>
      </c>
      <c r="E794" t="str">
        <f t="shared" si="49"/>
        <v>Redington India</v>
      </c>
      <c r="F794">
        <f t="shared" si="50"/>
        <v>40000</v>
      </c>
      <c r="G794">
        <f t="shared" si="51"/>
        <v>44000</v>
      </c>
    </row>
    <row r="795" spans="1:7" x14ac:dyDescent="0.25">
      <c r="A795" t="s">
        <v>794</v>
      </c>
      <c r="B795" t="s">
        <v>1005</v>
      </c>
      <c r="C795" t="str">
        <f t="shared" si="48"/>
        <v>Electronics (Computing Devices)</v>
      </c>
      <c r="D795" t="str">
        <f>IF(B217="Smartphone",
"Apple",
IF(B217="Smartwatch",
"Apple",
IF(B217="Laptop",
"Lenovo",
IF(B217="Desktop PC",
"Apple",
IF(B217="Tablet",
"Apple",
IF(B217="Headphone",
"Sony",
IF(B217="Camera",
"Sony",
IF(B217="Printer",
"HP",
IF(B217="External Hard Disk",
"Seagate",
"Other")))))))))</f>
        <v>Apple</v>
      </c>
      <c r="E795" t="str">
        <f t="shared" si="49"/>
        <v>Redington India</v>
      </c>
      <c r="F795">
        <f t="shared" si="50"/>
        <v>40000</v>
      </c>
      <c r="G795">
        <f t="shared" si="51"/>
        <v>44000</v>
      </c>
    </row>
    <row r="796" spans="1:7" x14ac:dyDescent="0.25">
      <c r="A796" t="s">
        <v>795</v>
      </c>
      <c r="B796" t="s">
        <v>1010</v>
      </c>
      <c r="C796" t="str">
        <f t="shared" si="48"/>
        <v>Office Equipments</v>
      </c>
      <c r="D796" t="str">
        <f>IF(B218="Smartphone",
"Apple",
IF(B218="Smartwatch",
"Apple",
IF(B218="Laptop",
"Lenovo",
IF(B218="Desktop PC",
"Apple",
IF(B218="Tablet",
"Apple",
IF(B218="Headphone",
"Sony",
IF(B218="Camera",
"Sony",
IF(B218="Printer",
"HP",
IF(B218="External Hard Disk",
"Seagate",
"Other")))))))))</f>
        <v>Sony</v>
      </c>
      <c r="E796" t="str">
        <f t="shared" si="49"/>
        <v>Supertron Electronics</v>
      </c>
      <c r="F796">
        <f t="shared" si="50"/>
        <v>60000</v>
      </c>
      <c r="G796">
        <f t="shared" si="51"/>
        <v>66000</v>
      </c>
    </row>
    <row r="797" spans="1:7" x14ac:dyDescent="0.25">
      <c r="A797" t="s">
        <v>796</v>
      </c>
      <c r="B797" t="s">
        <v>1013</v>
      </c>
      <c r="C797" t="str">
        <f t="shared" si="48"/>
        <v>Storage Devices</v>
      </c>
      <c r="D797" t="str">
        <f>IF(B219="Smartphone",
"Apple",
IF(B219="Smartwatch",
"Apple",
IF(B219="Laptop",
"Lenovo",
IF(B219="Desktop PC",
"Apple",
IF(B219="Tablet",
"Apple",
IF(B219="Headphone",
"Sony",
IF(B219="Camera",
"Sony",
IF(B219="Printer",
"HP",
IF(B219="External Hard Disk",
"Seagate",
"Other")))))))))</f>
        <v>Other</v>
      </c>
      <c r="E797" t="str">
        <f t="shared" si="49"/>
        <v>Ingram Micron India</v>
      </c>
      <c r="F797">
        <f t="shared" si="50"/>
        <v>35000</v>
      </c>
      <c r="G797">
        <f t="shared" si="51"/>
        <v>38500</v>
      </c>
    </row>
    <row r="798" spans="1:7" x14ac:dyDescent="0.25">
      <c r="A798" t="s">
        <v>797</v>
      </c>
      <c r="B798" t="s">
        <v>1002</v>
      </c>
      <c r="C798" t="str">
        <f t="shared" si="48"/>
        <v>Electronics (Computing Devices)</v>
      </c>
      <c r="D798" t="str">
        <f>IF(B220="Smartphone",
"Apple",
IF(B220="Smartwatch",
"Apple",
IF(B220="Laptop",
"Lenovo",
IF(B220="Desktop PC",
"Apple",
IF(B220="Tablet",
"Apple",
IF(B220="Headphone",
"Sony",
IF(B220="Camera",
"Sony",
IF(B220="Printer",
"HP",
IF(B220="External Hard Disk",
"Seagate",
"Other")))))))))</f>
        <v>Other</v>
      </c>
      <c r="E798" t="str">
        <f t="shared" si="49"/>
        <v>Ingram Micron India</v>
      </c>
      <c r="F798">
        <f t="shared" si="50"/>
        <v>35000</v>
      </c>
      <c r="G798">
        <f t="shared" si="51"/>
        <v>38500</v>
      </c>
    </row>
    <row r="799" spans="1:7" x14ac:dyDescent="0.25">
      <c r="A799" t="s">
        <v>798</v>
      </c>
      <c r="B799" t="s">
        <v>1003</v>
      </c>
      <c r="C799" t="str">
        <f t="shared" si="48"/>
        <v>Electronics (Computing Devices)</v>
      </c>
      <c r="D799" t="str">
        <f>IF(B221="Smartphone",
"Apple",
IF(B221="Smartwatch",
"Apple",
IF(B221="Laptop",
"Lenovo",
IF(B221="Desktop PC",
"Apple",
IF(B221="Tablet",
"Apple",
IF(B221="Headphone",
"Sony",
IF(B221="Camera",
"Sony",
IF(B221="Printer",
"HP",
IF(B221="External Hard Disk",
"Seagate",
"Other")))))))))</f>
        <v>HP</v>
      </c>
      <c r="E799" t="str">
        <f t="shared" si="49"/>
        <v>Savex Technologies</v>
      </c>
      <c r="F799">
        <f t="shared" si="50"/>
        <v>40000</v>
      </c>
      <c r="G799">
        <f t="shared" si="51"/>
        <v>44000</v>
      </c>
    </row>
    <row r="800" spans="1:7" x14ac:dyDescent="0.25">
      <c r="A800" t="s">
        <v>799</v>
      </c>
      <c r="B800" t="s">
        <v>1005</v>
      </c>
      <c r="C800" t="str">
        <f t="shared" si="48"/>
        <v>Electronics (Computing Devices)</v>
      </c>
      <c r="D800" t="str">
        <f>IF(B222="Smartphone",
"Apple",
IF(B222="Smartwatch",
"Apple",
IF(B222="Laptop",
"Lenovo",
IF(B222="Desktop PC",
"Apple",
IF(B222="Tablet",
"Apple",
IF(B222="Headphone",
"Sony",
IF(B222="Camera",
"Sony",
IF(B222="Printer",
"HP",
IF(B222="External Hard Disk",
"Seagate",
"Other")))))))))</f>
        <v>Lenovo</v>
      </c>
      <c r="E800" t="str">
        <f t="shared" si="49"/>
        <v>Savex Technologies</v>
      </c>
      <c r="F800">
        <f t="shared" si="50"/>
        <v>45000</v>
      </c>
      <c r="G800">
        <f t="shared" si="51"/>
        <v>49500.000000000007</v>
      </c>
    </row>
    <row r="801" spans="1:7" x14ac:dyDescent="0.25">
      <c r="A801" t="s">
        <v>800</v>
      </c>
      <c r="B801" t="s">
        <v>1013</v>
      </c>
      <c r="C801" t="str">
        <f t="shared" si="48"/>
        <v>Storage Devices</v>
      </c>
      <c r="D801" t="str">
        <f>IF(B223="Smartphone",
"Apple",
IF(B223="Smartwatch",
"Apple",
IF(B223="Laptop",
"Lenovo",
IF(B223="Desktop PC",
"Apple",
IF(B223="Tablet",
"Apple",
IF(B223="Headphone",
"Sony",
IF(B223="Camera",
"Sony",
IF(B223="Printer",
"HP",
IF(B223="External Hard Disk",
"Seagate",
"Other")))))))))</f>
        <v>Sony</v>
      </c>
      <c r="E801" t="str">
        <f t="shared" si="49"/>
        <v>Supertron Electronics</v>
      </c>
      <c r="F801">
        <f t="shared" si="50"/>
        <v>60000</v>
      </c>
      <c r="G801">
        <f t="shared" si="51"/>
        <v>66000</v>
      </c>
    </row>
    <row r="802" spans="1:7" x14ac:dyDescent="0.25">
      <c r="A802" t="s">
        <v>801</v>
      </c>
      <c r="B802" t="s">
        <v>1004</v>
      </c>
      <c r="C802" t="str">
        <f t="shared" si="48"/>
        <v>Electronics (Computing Devices)</v>
      </c>
      <c r="D802" t="str">
        <f>IF(B224="Smartphone",
"Apple",
IF(B224="Smartwatch",
"Apple",
IF(B224="Laptop",
"Lenovo",
IF(B224="Desktop PC",
"Apple",
IF(B224="Tablet",
"Apple",
IF(B224="Headphone",
"Sony",
IF(B224="Camera",
"Sony",
IF(B224="Printer",
"HP",
IF(B224="External Hard Disk",
"Seagate",
"Other")))))))))</f>
        <v>Other</v>
      </c>
      <c r="E802" t="str">
        <f t="shared" si="49"/>
        <v>Ingram Micron India</v>
      </c>
      <c r="F802">
        <f t="shared" si="50"/>
        <v>35000</v>
      </c>
      <c r="G802">
        <f t="shared" si="51"/>
        <v>38500</v>
      </c>
    </row>
    <row r="803" spans="1:7" x14ac:dyDescent="0.25">
      <c r="A803" t="s">
        <v>802</v>
      </c>
      <c r="B803" t="s">
        <v>1012</v>
      </c>
      <c r="C803" t="str">
        <f t="shared" si="48"/>
        <v>Audio Devices</v>
      </c>
      <c r="D803" t="str">
        <f>IF(B225="Smartphone",
"Apple",
IF(B225="Smartwatch",
"Apple",
IF(B225="Laptop",
"Lenovo",
IF(B225="Desktop PC",
"Apple",
IF(B225="Tablet",
"Apple",
IF(B225="Headphone",
"Sony",
IF(B225="Camera",
"Sony",
IF(B225="Printer",
"HP",
IF(B225="External Hard Disk",
"Seagate",
"Other")))))))))</f>
        <v>HP</v>
      </c>
      <c r="E803" t="str">
        <f t="shared" si="49"/>
        <v>Savex Technologies</v>
      </c>
      <c r="F803">
        <f t="shared" si="50"/>
        <v>40000</v>
      </c>
      <c r="G803">
        <f t="shared" si="51"/>
        <v>44000</v>
      </c>
    </row>
    <row r="804" spans="1:7" x14ac:dyDescent="0.25">
      <c r="A804" t="s">
        <v>803</v>
      </c>
      <c r="B804" t="s">
        <v>1003</v>
      </c>
      <c r="C804" t="str">
        <f t="shared" si="48"/>
        <v>Electronics (Computing Devices)</v>
      </c>
      <c r="D804" t="str">
        <f>IF(B226="Smartphone",
"Apple",
IF(B226="Smartwatch",
"Apple",
IF(B226="Laptop",
"Lenovo",
IF(B226="Desktop PC",
"Apple",
IF(B226="Tablet",
"Apple",
IF(B226="Headphone",
"Sony",
IF(B226="Camera",
"Sony",
IF(B226="Printer",
"HP",
IF(B226="External Hard Disk",
"Seagate",
"Other")))))))))</f>
        <v>Seagate</v>
      </c>
      <c r="E804" t="str">
        <f t="shared" si="49"/>
        <v>Ingram Micron India</v>
      </c>
      <c r="F804">
        <f t="shared" si="50"/>
        <v>35000</v>
      </c>
      <c r="G804">
        <f t="shared" si="51"/>
        <v>38500</v>
      </c>
    </row>
    <row r="805" spans="1:7" x14ac:dyDescent="0.25">
      <c r="A805" t="s">
        <v>804</v>
      </c>
      <c r="B805" t="s">
        <v>1001</v>
      </c>
      <c r="C805" t="str">
        <f t="shared" si="48"/>
        <v>Mobile and Wearables</v>
      </c>
      <c r="D805" t="str">
        <f>IF(B227="Smartphone",
"Apple",
IF(B227="Smartwatch",
"Apple",
IF(B227="Laptop",
"Lenovo",
IF(B227="Desktop PC",
"Apple",
IF(B227="Tablet",
"Apple",
IF(B227="Headphone",
"Sony",
IF(B227="Camera",
"Sony",
IF(B227="Printer",
"HP",
IF(B227="External Hard Disk",
"Seagate",
"Other")))))))))</f>
        <v>Other</v>
      </c>
      <c r="E805" t="str">
        <f t="shared" si="49"/>
        <v>Ingram Micron India</v>
      </c>
      <c r="F805">
        <f t="shared" si="50"/>
        <v>35000</v>
      </c>
      <c r="G805">
        <f t="shared" si="51"/>
        <v>38500</v>
      </c>
    </row>
    <row r="806" spans="1:7" x14ac:dyDescent="0.25">
      <c r="A806" t="s">
        <v>805</v>
      </c>
      <c r="B806" t="s">
        <v>1005</v>
      </c>
      <c r="C806" t="str">
        <f t="shared" si="48"/>
        <v>Electronics (Computing Devices)</v>
      </c>
      <c r="D806" t="str">
        <f>IF(B228="Smartphone",
"Apple",
IF(B228="Smartwatch",
"Apple",
IF(B228="Laptop",
"Lenovo",
IF(B228="Desktop PC",
"Apple",
IF(B228="Tablet",
"Apple",
IF(B228="Headphone",
"Sony",
IF(B228="Camera",
"Sony",
IF(B228="Printer",
"HP",
IF(B228="External Hard Disk",
"Seagate",
"Other")))))))))</f>
        <v>Apple</v>
      </c>
      <c r="E806" t="str">
        <f t="shared" si="49"/>
        <v>Redington India</v>
      </c>
      <c r="F806">
        <f t="shared" si="50"/>
        <v>40000</v>
      </c>
      <c r="G806">
        <f t="shared" si="51"/>
        <v>44000</v>
      </c>
    </row>
    <row r="807" spans="1:7" x14ac:dyDescent="0.25">
      <c r="A807" t="s">
        <v>806</v>
      </c>
      <c r="B807" t="s">
        <v>1002</v>
      </c>
      <c r="C807" t="str">
        <f t="shared" si="48"/>
        <v>Electronics (Computing Devices)</v>
      </c>
      <c r="D807" t="str">
        <f>IF(B229="Smartphone",
"Apple",
IF(B229="Smartwatch",
"Apple",
IF(B229="Laptop",
"Lenovo",
IF(B229="Desktop PC",
"Apple",
IF(B229="Tablet",
"Apple",
IF(B229="Headphone",
"Sony",
IF(B229="Camera",
"Sony",
IF(B229="Printer",
"HP",
IF(B229="External Hard Disk",
"Seagate",
"Other")))))))))</f>
        <v>HP</v>
      </c>
      <c r="E807" t="str">
        <f t="shared" si="49"/>
        <v>Savex Technologies</v>
      </c>
      <c r="F807">
        <f t="shared" si="50"/>
        <v>40000</v>
      </c>
      <c r="G807">
        <f t="shared" si="51"/>
        <v>44000</v>
      </c>
    </row>
    <row r="808" spans="1:7" x14ac:dyDescent="0.25">
      <c r="A808" t="s">
        <v>807</v>
      </c>
      <c r="B808" t="s">
        <v>1004</v>
      </c>
      <c r="C808" t="str">
        <f t="shared" si="48"/>
        <v>Electronics (Computing Devices)</v>
      </c>
      <c r="D808" t="str">
        <f>IF(B230="Smartphone",
"Apple",
IF(B230="Smartwatch",
"Apple",
IF(B230="Laptop",
"Lenovo",
IF(B230="Desktop PC",
"Apple",
IF(B230="Tablet",
"Apple",
IF(B230="Headphone",
"Sony",
IF(B230="Camera",
"Sony",
IF(B230="Printer",
"HP",
IF(B230="External Hard Disk",
"Seagate",
"Other")))))))))</f>
        <v>HP</v>
      </c>
      <c r="E808" t="str">
        <f t="shared" si="49"/>
        <v>Savex Technologies</v>
      </c>
      <c r="F808">
        <f t="shared" si="50"/>
        <v>40000</v>
      </c>
      <c r="G808">
        <f t="shared" si="51"/>
        <v>44000</v>
      </c>
    </row>
    <row r="809" spans="1:7" x14ac:dyDescent="0.25">
      <c r="A809" t="s">
        <v>808</v>
      </c>
      <c r="B809" t="s">
        <v>1010</v>
      </c>
      <c r="C809" t="str">
        <f t="shared" si="48"/>
        <v>Office Equipments</v>
      </c>
      <c r="D809" t="str">
        <f>IF(B231="Smartphone",
"Apple",
IF(B231="Smartwatch",
"Apple",
IF(B231="Laptop",
"Lenovo",
IF(B231="Desktop PC",
"Apple",
IF(B231="Tablet",
"Apple",
IF(B231="Headphone",
"Sony",
IF(B231="Camera",
"Sony",
IF(B231="Printer",
"HP",
IF(B231="External Hard Disk",
"Seagate",
"Other")))))))))</f>
        <v>Apple</v>
      </c>
      <c r="E809" t="str">
        <f t="shared" si="49"/>
        <v>Redington India</v>
      </c>
      <c r="F809">
        <f t="shared" si="50"/>
        <v>40000</v>
      </c>
      <c r="G809">
        <f t="shared" si="51"/>
        <v>44000</v>
      </c>
    </row>
    <row r="810" spans="1:7" x14ac:dyDescent="0.25">
      <c r="A810" t="s">
        <v>809</v>
      </c>
      <c r="B810" t="s">
        <v>1005</v>
      </c>
      <c r="C810" t="str">
        <f t="shared" si="48"/>
        <v>Electronics (Computing Devices)</v>
      </c>
      <c r="D810" t="str">
        <f>IF(B232="Smartphone",
"Apple",
IF(B232="Smartwatch",
"Apple",
IF(B232="Laptop",
"Lenovo",
IF(B232="Desktop PC",
"Apple",
IF(B232="Tablet",
"Apple",
IF(B232="Headphone",
"Sony",
IF(B232="Camera",
"Sony",
IF(B232="Printer",
"HP",
IF(B232="External Hard Disk",
"Seagate",
"Other")))))))))</f>
        <v>Apple</v>
      </c>
      <c r="E810" t="str">
        <f t="shared" si="49"/>
        <v>Redington India</v>
      </c>
      <c r="F810">
        <f t="shared" si="50"/>
        <v>40000</v>
      </c>
      <c r="G810">
        <f t="shared" si="51"/>
        <v>44000</v>
      </c>
    </row>
    <row r="811" spans="1:7" x14ac:dyDescent="0.25">
      <c r="A811" t="s">
        <v>810</v>
      </c>
      <c r="B811" t="s">
        <v>1005</v>
      </c>
      <c r="C811" t="str">
        <f t="shared" si="48"/>
        <v>Electronics (Computing Devices)</v>
      </c>
      <c r="D811" t="str">
        <f>IF(B233="Smartphone",
"Apple",
IF(B233="Smartwatch",
"Apple",
IF(B233="Laptop",
"Lenovo",
IF(B233="Desktop PC",
"Apple",
IF(B233="Tablet",
"Apple",
IF(B233="Headphone",
"Sony",
IF(B233="Camera",
"Sony",
IF(B233="Printer",
"HP",
IF(B233="External Hard Disk",
"Seagate",
"Other")))))))))</f>
        <v>Apple</v>
      </c>
      <c r="E811" t="str">
        <f t="shared" si="49"/>
        <v>Redington India</v>
      </c>
      <c r="F811">
        <f t="shared" si="50"/>
        <v>40000</v>
      </c>
      <c r="G811">
        <f t="shared" si="51"/>
        <v>44000</v>
      </c>
    </row>
    <row r="812" spans="1:7" x14ac:dyDescent="0.25">
      <c r="A812" t="s">
        <v>811</v>
      </c>
      <c r="B812" t="s">
        <v>1004</v>
      </c>
      <c r="C812" t="str">
        <f t="shared" si="48"/>
        <v>Electronics (Computing Devices)</v>
      </c>
      <c r="D812" t="str">
        <f>IF(B234="Smartphone",
"Apple",
IF(B234="Smartwatch",
"Apple",
IF(B234="Laptop",
"Lenovo",
IF(B234="Desktop PC",
"Apple",
IF(B234="Tablet",
"Apple",
IF(B234="Headphone",
"Sony",
IF(B234="Camera",
"Sony",
IF(B234="Printer",
"HP",
IF(B234="External Hard Disk",
"Seagate",
"Other")))))))))</f>
        <v>Seagate</v>
      </c>
      <c r="E812" t="str">
        <f t="shared" si="49"/>
        <v>Ingram Micron India</v>
      </c>
      <c r="F812">
        <f t="shared" si="50"/>
        <v>35000</v>
      </c>
      <c r="G812">
        <f t="shared" si="51"/>
        <v>38500</v>
      </c>
    </row>
    <row r="813" spans="1:7" x14ac:dyDescent="0.25">
      <c r="A813" t="s">
        <v>812</v>
      </c>
      <c r="B813" t="s">
        <v>1012</v>
      </c>
      <c r="C813" t="str">
        <f t="shared" si="48"/>
        <v>Audio Devices</v>
      </c>
      <c r="D813" t="str">
        <f>IF(B235="Smartphone",
"Apple",
IF(B235="Smartwatch",
"Apple",
IF(B235="Laptop",
"Lenovo",
IF(B235="Desktop PC",
"Apple",
IF(B235="Tablet",
"Apple",
IF(B235="Headphone",
"Sony",
IF(B235="Camera",
"Sony",
IF(B235="Printer",
"HP",
IF(B235="External Hard Disk",
"Seagate",
"Other")))))))))</f>
        <v>Apple</v>
      </c>
      <c r="E813" t="str">
        <f t="shared" si="49"/>
        <v>Redington India</v>
      </c>
      <c r="F813">
        <f t="shared" si="50"/>
        <v>40000</v>
      </c>
      <c r="G813">
        <f t="shared" si="51"/>
        <v>44000</v>
      </c>
    </row>
    <row r="814" spans="1:7" x14ac:dyDescent="0.25">
      <c r="A814" t="s">
        <v>813</v>
      </c>
      <c r="B814" t="s">
        <v>1001</v>
      </c>
      <c r="C814" t="str">
        <f t="shared" si="48"/>
        <v>Mobile and Wearables</v>
      </c>
      <c r="D814" t="str">
        <f>IF(B236="Smartphone",
"Apple",
IF(B236="Smartwatch",
"Apple",
IF(B236="Laptop",
"Lenovo",
IF(B236="Desktop PC",
"Apple",
IF(B236="Tablet",
"Apple",
IF(B236="Headphone",
"Sony",
IF(B236="Camera",
"Sony",
IF(B236="Printer",
"HP",
IF(B236="External Hard Disk",
"Seagate",
"Other")))))))))</f>
        <v>Apple</v>
      </c>
      <c r="E814" t="str">
        <f t="shared" si="49"/>
        <v>Redington India</v>
      </c>
      <c r="F814">
        <f t="shared" si="50"/>
        <v>40000</v>
      </c>
      <c r="G814">
        <f t="shared" si="51"/>
        <v>44000</v>
      </c>
    </row>
    <row r="815" spans="1:7" x14ac:dyDescent="0.25">
      <c r="A815" t="s">
        <v>814</v>
      </c>
      <c r="B815" t="s">
        <v>1010</v>
      </c>
      <c r="C815" t="str">
        <f t="shared" si="48"/>
        <v>Office Equipments</v>
      </c>
      <c r="D815" t="str">
        <f>IF(B237="Smartphone",
"Apple",
IF(B237="Smartwatch",
"Apple",
IF(B237="Laptop",
"Lenovo",
IF(B237="Desktop PC",
"Apple",
IF(B237="Tablet",
"Apple",
IF(B237="Headphone",
"Sony",
IF(B237="Camera",
"Sony",
IF(B237="Printer",
"HP",
IF(B237="External Hard Disk",
"Seagate",
"Other")))))))))</f>
        <v>Sony</v>
      </c>
      <c r="E815" t="str">
        <f t="shared" si="49"/>
        <v>Supertron Electronics</v>
      </c>
      <c r="F815">
        <f t="shared" si="50"/>
        <v>60000</v>
      </c>
      <c r="G815">
        <f t="shared" si="51"/>
        <v>66000</v>
      </c>
    </row>
    <row r="816" spans="1:7" x14ac:dyDescent="0.25">
      <c r="A816" t="s">
        <v>815</v>
      </c>
      <c r="B816" t="s">
        <v>1005</v>
      </c>
      <c r="C816" t="str">
        <f t="shared" si="48"/>
        <v>Electronics (Computing Devices)</v>
      </c>
      <c r="D816" t="str">
        <f>IF(B238="Smartphone",
"Apple",
IF(B238="Smartwatch",
"Apple",
IF(B238="Laptop",
"Lenovo",
IF(B238="Desktop PC",
"Apple",
IF(B238="Tablet",
"Apple",
IF(B238="Headphone",
"Sony",
IF(B238="Camera",
"Sony",
IF(B238="Printer",
"HP",
IF(B238="External Hard Disk",
"Seagate",
"Other")))))))))</f>
        <v>Apple</v>
      </c>
      <c r="E816" t="str">
        <f t="shared" si="49"/>
        <v>Redington India</v>
      </c>
      <c r="F816">
        <f t="shared" si="50"/>
        <v>40000</v>
      </c>
      <c r="G816">
        <f t="shared" si="51"/>
        <v>44000</v>
      </c>
    </row>
    <row r="817" spans="1:7" x14ac:dyDescent="0.25">
      <c r="A817" t="s">
        <v>816</v>
      </c>
      <c r="B817" t="s">
        <v>1013</v>
      </c>
      <c r="C817" t="str">
        <f t="shared" si="48"/>
        <v>Storage Devices</v>
      </c>
      <c r="D817" t="str">
        <f>IF(B239="Smartphone",
"Apple",
IF(B239="Smartwatch",
"Apple",
IF(B239="Laptop",
"Lenovo",
IF(B239="Desktop PC",
"Apple",
IF(B239="Tablet",
"Apple",
IF(B239="Headphone",
"Sony",
IF(B239="Camera",
"Sony",
IF(B239="Printer",
"HP",
IF(B239="External Hard Disk",
"Seagate",
"Other")))))))))</f>
        <v>Sony</v>
      </c>
      <c r="E817" t="str">
        <f t="shared" si="49"/>
        <v>Supertron Electronics</v>
      </c>
      <c r="F817">
        <f t="shared" si="50"/>
        <v>60000</v>
      </c>
      <c r="G817">
        <f t="shared" si="51"/>
        <v>66000</v>
      </c>
    </row>
    <row r="818" spans="1:7" x14ac:dyDescent="0.25">
      <c r="A818" t="s">
        <v>817</v>
      </c>
      <c r="B818" t="s">
        <v>1007</v>
      </c>
      <c r="C818" t="str">
        <f t="shared" si="48"/>
        <v>Mobile and Wearables</v>
      </c>
      <c r="D818" t="str">
        <f>IF(B240="Smartphone",
"Apple",
IF(B240="Smartwatch",
"Apple",
IF(B240="Laptop",
"Lenovo",
IF(B240="Desktop PC",
"Apple",
IF(B240="Tablet",
"Apple",
IF(B240="Headphone",
"Sony",
IF(B240="Camera",
"Sony",
IF(B240="Printer",
"HP",
IF(B240="External Hard Disk",
"Seagate",
"Other")))))))))</f>
        <v>Seagate</v>
      </c>
      <c r="E818" t="str">
        <f t="shared" si="49"/>
        <v>Ingram Micron India</v>
      </c>
      <c r="F818">
        <f t="shared" si="50"/>
        <v>35000</v>
      </c>
      <c r="G818">
        <f t="shared" si="51"/>
        <v>38500</v>
      </c>
    </row>
    <row r="819" spans="1:7" x14ac:dyDescent="0.25">
      <c r="A819" t="s">
        <v>818</v>
      </c>
      <c r="B819" t="s">
        <v>1010</v>
      </c>
      <c r="C819" t="str">
        <f t="shared" si="48"/>
        <v>Office Equipments</v>
      </c>
      <c r="D819" t="str">
        <f>IF(B241="Smartphone",
"Apple",
IF(B241="Smartwatch",
"Apple",
IF(B241="Laptop",
"Lenovo",
IF(B241="Desktop PC",
"Apple",
IF(B241="Tablet",
"Apple",
IF(B241="Headphone",
"Sony",
IF(B241="Camera",
"Sony",
IF(B241="Printer",
"HP",
IF(B241="External Hard Disk",
"Seagate",
"Other")))))))))</f>
        <v>HP</v>
      </c>
      <c r="E819" t="str">
        <f t="shared" si="49"/>
        <v>Savex Technologies</v>
      </c>
      <c r="F819">
        <f t="shared" si="50"/>
        <v>40000</v>
      </c>
      <c r="G819">
        <f t="shared" si="51"/>
        <v>44000</v>
      </c>
    </row>
    <row r="820" spans="1:7" x14ac:dyDescent="0.25">
      <c r="A820" t="s">
        <v>819</v>
      </c>
      <c r="B820" t="s">
        <v>1004</v>
      </c>
      <c r="C820" t="str">
        <f t="shared" si="48"/>
        <v>Electronics (Computing Devices)</v>
      </c>
      <c r="D820" t="str">
        <f>IF(B242="Smartphone",
"Apple",
IF(B242="Smartwatch",
"Apple",
IF(B242="Laptop",
"Lenovo",
IF(B242="Desktop PC",
"Apple",
IF(B242="Tablet",
"Apple",
IF(B242="Headphone",
"Sony",
IF(B242="Camera",
"Sony",
IF(B242="Printer",
"HP",
IF(B242="External Hard Disk",
"Seagate",
"Other")))))))))</f>
        <v>Apple</v>
      </c>
      <c r="E820" t="str">
        <f t="shared" si="49"/>
        <v>Redington India</v>
      </c>
      <c r="F820">
        <f t="shared" si="50"/>
        <v>40000</v>
      </c>
      <c r="G820">
        <f t="shared" si="51"/>
        <v>44000</v>
      </c>
    </row>
    <row r="821" spans="1:7" x14ac:dyDescent="0.25">
      <c r="A821" t="s">
        <v>820</v>
      </c>
      <c r="B821" t="s">
        <v>1004</v>
      </c>
      <c r="C821" t="str">
        <f t="shared" si="48"/>
        <v>Electronics (Computing Devices)</v>
      </c>
      <c r="D821" t="str">
        <f>IF(B243="Smartphone",
"Apple",
IF(B243="Smartwatch",
"Apple",
IF(B243="Laptop",
"Lenovo",
IF(B243="Desktop PC",
"Apple",
IF(B243="Tablet",
"Apple",
IF(B243="Headphone",
"Sony",
IF(B243="Camera",
"Sony",
IF(B243="Printer",
"HP",
IF(B243="External Hard Disk",
"Seagate",
"Other")))))))))</f>
        <v>Seagate</v>
      </c>
      <c r="E821" t="str">
        <f t="shared" si="49"/>
        <v>Ingram Micron India</v>
      </c>
      <c r="F821">
        <f t="shared" si="50"/>
        <v>35000</v>
      </c>
      <c r="G821">
        <f t="shared" si="51"/>
        <v>38500</v>
      </c>
    </row>
    <row r="822" spans="1:7" x14ac:dyDescent="0.25">
      <c r="A822" t="s">
        <v>821</v>
      </c>
      <c r="B822" t="s">
        <v>1013</v>
      </c>
      <c r="C822" t="str">
        <f t="shared" si="48"/>
        <v>Storage Devices</v>
      </c>
      <c r="D822" t="str">
        <f>IF(B244="Smartphone",
"Apple",
IF(B244="Smartwatch",
"Apple",
IF(B244="Laptop",
"Lenovo",
IF(B244="Desktop PC",
"Apple",
IF(B244="Tablet",
"Apple",
IF(B244="Headphone",
"Sony",
IF(B244="Camera",
"Sony",
IF(B244="Printer",
"HP",
IF(B244="External Hard Disk",
"Seagate",
"Other")))))))))</f>
        <v>Apple</v>
      </c>
      <c r="E822" t="str">
        <f t="shared" si="49"/>
        <v>Redington India</v>
      </c>
      <c r="F822">
        <f t="shared" si="50"/>
        <v>40000</v>
      </c>
      <c r="G822">
        <f t="shared" si="51"/>
        <v>44000</v>
      </c>
    </row>
    <row r="823" spans="1:7" x14ac:dyDescent="0.25">
      <c r="A823" t="s">
        <v>822</v>
      </c>
      <c r="B823" t="s">
        <v>1001</v>
      </c>
      <c r="C823" t="str">
        <f t="shared" si="48"/>
        <v>Mobile and Wearables</v>
      </c>
      <c r="D823" t="str">
        <f>IF(B245="Smartphone",
"Apple",
IF(B245="Smartwatch",
"Apple",
IF(B245="Laptop",
"Lenovo",
IF(B245="Desktop PC",
"Apple",
IF(B245="Tablet",
"Apple",
IF(B245="Headphone",
"Sony",
IF(B245="Camera",
"Sony",
IF(B245="Printer",
"HP",
IF(B245="External Hard Disk",
"Seagate",
"Other")))))))))</f>
        <v>Apple</v>
      </c>
      <c r="E823" t="str">
        <f t="shared" si="49"/>
        <v>Redington India</v>
      </c>
      <c r="F823">
        <f t="shared" si="50"/>
        <v>40000</v>
      </c>
      <c r="G823">
        <f t="shared" si="51"/>
        <v>44000</v>
      </c>
    </row>
    <row r="824" spans="1:7" x14ac:dyDescent="0.25">
      <c r="A824" t="s">
        <v>823</v>
      </c>
      <c r="B824" t="s">
        <v>1009</v>
      </c>
      <c r="C824" t="str">
        <f t="shared" si="48"/>
        <v>Office Equipments</v>
      </c>
      <c r="D824" t="str">
        <f>IF(B246="Smartphone",
"Apple",
IF(B246="Smartwatch",
"Apple",
IF(B246="Laptop",
"Lenovo",
IF(B246="Desktop PC",
"Apple",
IF(B246="Tablet",
"Apple",
IF(B246="Headphone",
"Sony",
IF(B246="Camera",
"Sony",
IF(B246="Printer",
"HP",
IF(B246="External Hard Disk",
"Seagate",
"Other")))))))))</f>
        <v>Lenovo</v>
      </c>
      <c r="E824" t="str">
        <f t="shared" si="49"/>
        <v>Savex Technologies</v>
      </c>
      <c r="F824">
        <f t="shared" si="50"/>
        <v>45000</v>
      </c>
      <c r="G824">
        <f t="shared" si="51"/>
        <v>49500.000000000007</v>
      </c>
    </row>
    <row r="825" spans="1:7" x14ac:dyDescent="0.25">
      <c r="A825" t="s">
        <v>824</v>
      </c>
      <c r="B825" t="s">
        <v>1005</v>
      </c>
      <c r="C825" t="str">
        <f t="shared" si="48"/>
        <v>Electronics (Computing Devices)</v>
      </c>
      <c r="D825" t="str">
        <f>IF(B247="Smartphone",
"Apple",
IF(B247="Smartwatch",
"Apple",
IF(B247="Laptop",
"Lenovo",
IF(B247="Desktop PC",
"Apple",
IF(B247="Tablet",
"Apple",
IF(B247="Headphone",
"Sony",
IF(B247="Camera",
"Sony",
IF(B247="Printer",
"HP",
IF(B247="External Hard Disk",
"Seagate",
"Other")))))))))</f>
        <v>Sony</v>
      </c>
      <c r="E825" t="str">
        <f t="shared" si="49"/>
        <v>Supertron Electronics</v>
      </c>
      <c r="F825">
        <f t="shared" si="50"/>
        <v>60000</v>
      </c>
      <c r="G825">
        <f t="shared" si="51"/>
        <v>66000</v>
      </c>
    </row>
    <row r="826" spans="1:7" x14ac:dyDescent="0.25">
      <c r="A826" t="s">
        <v>825</v>
      </c>
      <c r="B826" t="s">
        <v>1005</v>
      </c>
      <c r="C826" t="str">
        <f t="shared" si="48"/>
        <v>Electronics (Computing Devices)</v>
      </c>
      <c r="D826" t="str">
        <f>IF(B248="Smartphone",
"Apple",
IF(B248="Smartwatch",
"Apple",
IF(B248="Laptop",
"Lenovo",
IF(B248="Desktop PC",
"Apple",
IF(B248="Tablet",
"Apple",
IF(B248="Headphone",
"Sony",
IF(B248="Camera",
"Sony",
IF(B248="Printer",
"HP",
IF(B248="External Hard Disk",
"Seagate",
"Other")))))))))</f>
        <v>HP</v>
      </c>
      <c r="E826" t="str">
        <f t="shared" si="49"/>
        <v>Savex Technologies</v>
      </c>
      <c r="F826">
        <f t="shared" si="50"/>
        <v>40000</v>
      </c>
      <c r="G826">
        <f t="shared" si="51"/>
        <v>44000</v>
      </c>
    </row>
    <row r="827" spans="1:7" x14ac:dyDescent="0.25">
      <c r="A827" t="s">
        <v>826</v>
      </c>
      <c r="B827" t="s">
        <v>1007</v>
      </c>
      <c r="C827" t="str">
        <f t="shared" si="48"/>
        <v>Mobile and Wearables</v>
      </c>
      <c r="D827" t="str">
        <f>IF(B249="Smartphone",
"Apple",
IF(B249="Smartwatch",
"Apple",
IF(B249="Laptop",
"Lenovo",
IF(B249="Desktop PC",
"Apple",
IF(B249="Tablet",
"Apple",
IF(B249="Headphone",
"Sony",
IF(B249="Camera",
"Sony",
IF(B249="Printer",
"HP",
IF(B249="External Hard Disk",
"Seagate",
"Other")))))))))</f>
        <v>Other</v>
      </c>
      <c r="E827" t="str">
        <f t="shared" si="49"/>
        <v>Ingram Micron India</v>
      </c>
      <c r="F827">
        <f t="shared" si="50"/>
        <v>35000</v>
      </c>
      <c r="G827">
        <f t="shared" si="51"/>
        <v>38500</v>
      </c>
    </row>
    <row r="828" spans="1:7" x14ac:dyDescent="0.25">
      <c r="A828" t="s">
        <v>827</v>
      </c>
      <c r="B828" t="s">
        <v>1007</v>
      </c>
      <c r="C828" t="str">
        <f t="shared" si="48"/>
        <v>Mobile and Wearables</v>
      </c>
      <c r="D828" t="str">
        <f>IF(B250="Smartphone",
"Apple",
IF(B250="Smartwatch",
"Apple",
IF(B250="Laptop",
"Lenovo",
IF(B250="Desktop PC",
"Apple",
IF(B250="Tablet",
"Apple",
IF(B250="Headphone",
"Sony",
IF(B250="Camera",
"Sony",
IF(B250="Printer",
"HP",
IF(B250="External Hard Disk",
"Seagate",
"Other")))))))))</f>
        <v>Seagate</v>
      </c>
      <c r="E828" t="str">
        <f t="shared" si="49"/>
        <v>Ingram Micron India</v>
      </c>
      <c r="F828">
        <f t="shared" si="50"/>
        <v>35000</v>
      </c>
      <c r="G828">
        <f t="shared" si="51"/>
        <v>38500</v>
      </c>
    </row>
    <row r="829" spans="1:7" x14ac:dyDescent="0.25">
      <c r="A829" t="s">
        <v>828</v>
      </c>
      <c r="B829" t="s">
        <v>1005</v>
      </c>
      <c r="C829" t="str">
        <f t="shared" si="48"/>
        <v>Electronics (Computing Devices)</v>
      </c>
      <c r="D829" t="str">
        <f>IF(B251="Smartphone",
"Apple",
IF(B251="Smartwatch",
"Apple",
IF(B251="Laptop",
"Lenovo",
IF(B251="Desktop PC",
"Apple",
IF(B251="Tablet",
"Apple",
IF(B251="Headphone",
"Sony",
IF(B251="Camera",
"Sony",
IF(B251="Printer",
"HP",
IF(B251="External Hard Disk",
"Seagate",
"Other")))))))))</f>
        <v>Seagate</v>
      </c>
      <c r="E829" t="str">
        <f t="shared" si="49"/>
        <v>Ingram Micron India</v>
      </c>
      <c r="F829">
        <f t="shared" si="50"/>
        <v>35000</v>
      </c>
      <c r="G829">
        <f t="shared" si="51"/>
        <v>38500</v>
      </c>
    </row>
    <row r="830" spans="1:7" x14ac:dyDescent="0.25">
      <c r="A830" t="s">
        <v>829</v>
      </c>
      <c r="B830" t="s">
        <v>1010</v>
      </c>
      <c r="C830" t="str">
        <f t="shared" si="48"/>
        <v>Office Equipments</v>
      </c>
      <c r="D830" t="str">
        <f>IF(B252="Smartphone",
"Apple",
IF(B252="Smartwatch",
"Apple",
IF(B252="Laptop",
"Lenovo",
IF(B252="Desktop PC",
"Apple",
IF(B252="Tablet",
"Apple",
IF(B252="Headphone",
"Sony",
IF(B252="Camera",
"Sony",
IF(B252="Printer",
"HP",
IF(B252="External Hard Disk",
"Seagate",
"Other")))))))))</f>
        <v>Apple</v>
      </c>
      <c r="E830" t="str">
        <f t="shared" si="49"/>
        <v>Redington India</v>
      </c>
      <c r="F830">
        <f t="shared" si="50"/>
        <v>40000</v>
      </c>
      <c r="G830">
        <f t="shared" si="51"/>
        <v>44000</v>
      </c>
    </row>
    <row r="831" spans="1:7" x14ac:dyDescent="0.25">
      <c r="A831" t="s">
        <v>830</v>
      </c>
      <c r="B831" t="s">
        <v>1004</v>
      </c>
      <c r="C831" t="str">
        <f t="shared" si="48"/>
        <v>Electronics (Computing Devices)</v>
      </c>
      <c r="D831" t="str">
        <f>IF(B253="Smartphone",
"Apple",
IF(B253="Smartwatch",
"Apple",
IF(B253="Laptop",
"Lenovo",
IF(B253="Desktop PC",
"Apple",
IF(B253="Tablet",
"Apple",
IF(B253="Headphone",
"Sony",
IF(B253="Camera",
"Sony",
IF(B253="Printer",
"HP",
IF(B253="External Hard Disk",
"Seagate",
"Other")))))))))</f>
        <v>Apple</v>
      </c>
      <c r="E831" t="str">
        <f t="shared" si="49"/>
        <v>Redington India</v>
      </c>
      <c r="F831">
        <f t="shared" si="50"/>
        <v>40000</v>
      </c>
      <c r="G831">
        <f t="shared" si="51"/>
        <v>44000</v>
      </c>
    </row>
    <row r="832" spans="1:7" x14ac:dyDescent="0.25">
      <c r="A832" t="s">
        <v>831</v>
      </c>
      <c r="B832" t="s">
        <v>1013</v>
      </c>
      <c r="C832" t="str">
        <f t="shared" si="48"/>
        <v>Storage Devices</v>
      </c>
      <c r="D832" t="str">
        <f>IF(B254="Smartphone",
"Apple",
IF(B254="Smartwatch",
"Apple",
IF(B254="Laptop",
"Lenovo",
IF(B254="Desktop PC",
"Apple",
IF(B254="Tablet",
"Apple",
IF(B254="Headphone",
"Sony",
IF(B254="Camera",
"Sony",
IF(B254="Printer",
"HP",
IF(B254="External Hard Disk",
"Seagate",
"Other")))))))))</f>
        <v>Seagate</v>
      </c>
      <c r="E832" t="str">
        <f t="shared" si="49"/>
        <v>Ingram Micron India</v>
      </c>
      <c r="F832">
        <f t="shared" si="50"/>
        <v>35000</v>
      </c>
      <c r="G832">
        <f t="shared" si="51"/>
        <v>38500</v>
      </c>
    </row>
    <row r="833" spans="1:7" x14ac:dyDescent="0.25">
      <c r="A833" t="s">
        <v>832</v>
      </c>
      <c r="B833" t="s">
        <v>1007</v>
      </c>
      <c r="C833" t="str">
        <f t="shared" si="48"/>
        <v>Mobile and Wearables</v>
      </c>
      <c r="D833" t="str">
        <f>IF(B255="Smartphone",
"Apple",
IF(B255="Smartwatch",
"Apple",
IF(B255="Laptop",
"Lenovo",
IF(B255="Desktop PC",
"Apple",
IF(B255="Tablet",
"Apple",
IF(B255="Headphone",
"Sony",
IF(B255="Camera",
"Sony",
IF(B255="Printer",
"HP",
IF(B255="External Hard Disk",
"Seagate",
"Other")))))))))</f>
        <v>HP</v>
      </c>
      <c r="E833" t="str">
        <f t="shared" si="49"/>
        <v>Savex Technologies</v>
      </c>
      <c r="F833">
        <f t="shared" si="50"/>
        <v>40000</v>
      </c>
      <c r="G833">
        <f t="shared" si="51"/>
        <v>44000</v>
      </c>
    </row>
    <row r="834" spans="1:7" x14ac:dyDescent="0.25">
      <c r="A834" t="s">
        <v>833</v>
      </c>
      <c r="B834" t="s">
        <v>1009</v>
      </c>
      <c r="C834" t="str">
        <f t="shared" si="48"/>
        <v>Office Equipments</v>
      </c>
      <c r="D834" t="str">
        <f>IF(B256="Smartphone",
"Apple",
IF(B256="Smartwatch",
"Apple",
IF(B256="Laptop",
"Lenovo",
IF(B256="Desktop PC",
"Apple",
IF(B256="Tablet",
"Apple",
IF(B256="Headphone",
"Sony",
IF(B256="Camera",
"Sony",
IF(B256="Printer",
"HP",
IF(B256="External Hard Disk",
"Seagate",
"Other")))))))))</f>
        <v>Apple</v>
      </c>
      <c r="E834" t="str">
        <f t="shared" si="49"/>
        <v>Redington India</v>
      </c>
      <c r="F834">
        <f t="shared" si="50"/>
        <v>40000</v>
      </c>
      <c r="G834">
        <f t="shared" si="51"/>
        <v>44000</v>
      </c>
    </row>
    <row r="835" spans="1:7" x14ac:dyDescent="0.25">
      <c r="A835" t="s">
        <v>834</v>
      </c>
      <c r="B835" t="s">
        <v>1007</v>
      </c>
      <c r="C835" t="str">
        <f t="shared" ref="C835:C898" si="52">IF(OR(B835="Laptop",B835="Desktop PC",B835="Tablet",B835="E-Reader"),
"Electronics (Computing Devices)",
IF(OR(B835="Smartphone",B835="Smartwatch"),
"Mobile and Wearables",
IF(B835="Headphone",
"Audio Devices",
IF(OR(B835="Printer",B835="Camera"),
"Office Equipments",
IF(B835="External Hard Disk",
"Storage Devices",
"Other")))))</f>
        <v>Mobile and Wearables</v>
      </c>
      <c r="D835" t="str">
        <f>IF(B257="Smartphone",
"Apple",
IF(B257="Smartwatch",
"Apple",
IF(B257="Laptop",
"Lenovo",
IF(B257="Desktop PC",
"Apple",
IF(B257="Tablet",
"Apple",
IF(B257="Headphone",
"Sony",
IF(B257="Camera",
"Sony",
IF(B257="Printer",
"HP",
IF(B257="External Hard Disk",
"Seagate",
"Other")))))))))</f>
        <v>Sony</v>
      </c>
      <c r="E835" t="str">
        <f t="shared" ref="E835:E898" si="53">IF(D835="Apple",
"Redington India",
IF(D835="Samsung",
"Rashi Peripherals",
IF(D835="Sony",
"Supertron Electronics",
IF(OR(D835="Lenovo",D835="HP",D835="Dell"),
"Savex Technologies",
IF(C835="Printer",
"Rashi Peripherals",
IF(C835="Camera",
"Redington India",
IF(C835="External Hard Disk",
"Supertron Electronics",
"Ingram Micron India")))))))</f>
        <v>Supertron Electronics</v>
      </c>
      <c r="F835">
        <f t="shared" ref="F835:F898" si="54">IF(D835="Apple",
IF(C835="Smartphone",95000,
IF(C835="Tablet",75000,
IF(C835="Laptop",150000,
IF(C835="Smartwatch",90000,40000)))),
IF(D835="Samsung",
IF(C835="Smartphone",55000,
IF(C835="Tablet",40000,
IF(C835="Smartwatch",25000,30000))),
IF(D835="Lenovo",
IF(C835="Laptop",85000,
IF(C835="Desktop PC",70000,45000)),
IF(D835="HP",
IF(C835="Printer",30000,
IF(C835="Laptop",80000,40000)),
IF(D835="Sony",
IF(C835="Headphone",15000,
IF(C835="Camera",120000,60000)),
IF(C835="External Hard Disk",
IF(D835="Seagate",7000,
IF(D835="Western Digital",8000,7500)),
35000))))))</f>
        <v>60000</v>
      </c>
      <c r="G835">
        <f t="shared" ref="G835:G898" si="55">IF(C835="Smartphone",F835*1.1,
IF(C835="Laptop",F835*1.08,
IF(C835="Tablet",F835*1.12,
IF(C835="Smartwatch",F835*1.15,
IF(C835="Desktop PC",F835*1.07,
IF(C835="Printer",F835*1.18,
IF(C835="Camera",F835*1.12,
IF(C835="Headphone",F835*1.25,
IF(C835="External Hard Disk",F835*1.2,
F835*1.1)))))))))</f>
        <v>66000</v>
      </c>
    </row>
    <row r="836" spans="1:7" x14ac:dyDescent="0.25">
      <c r="A836" t="s">
        <v>835</v>
      </c>
      <c r="B836" t="s">
        <v>1009</v>
      </c>
      <c r="C836" t="str">
        <f t="shared" si="52"/>
        <v>Office Equipments</v>
      </c>
      <c r="D836" t="str">
        <f>IF(B258="Smartphone",
"Apple",
IF(B258="Smartwatch",
"Apple",
IF(B258="Laptop",
"Lenovo",
IF(B258="Desktop PC",
"Apple",
IF(B258="Tablet",
"Apple",
IF(B258="Headphone",
"Sony",
IF(B258="Camera",
"Sony",
IF(B258="Printer",
"HP",
IF(B258="External Hard Disk",
"Seagate",
"Other")))))))))</f>
        <v>Sony</v>
      </c>
      <c r="E836" t="str">
        <f t="shared" si="53"/>
        <v>Supertron Electronics</v>
      </c>
      <c r="F836">
        <f t="shared" si="54"/>
        <v>60000</v>
      </c>
      <c r="G836">
        <f t="shared" si="55"/>
        <v>66000</v>
      </c>
    </row>
    <row r="837" spans="1:7" x14ac:dyDescent="0.25">
      <c r="A837" t="s">
        <v>836</v>
      </c>
      <c r="B837" t="s">
        <v>1013</v>
      </c>
      <c r="C837" t="str">
        <f t="shared" si="52"/>
        <v>Storage Devices</v>
      </c>
      <c r="D837" t="str">
        <f>IF(B259="Smartphone",
"Apple",
IF(B259="Smartwatch",
"Apple",
IF(B259="Laptop",
"Lenovo",
IF(B259="Desktop PC",
"Apple",
IF(B259="Tablet",
"Apple",
IF(B259="Headphone",
"Sony",
IF(B259="Camera",
"Sony",
IF(B259="Printer",
"HP",
IF(B259="External Hard Disk",
"Seagate",
"Other")))))))))</f>
        <v>Other</v>
      </c>
      <c r="E837" t="str">
        <f t="shared" si="53"/>
        <v>Ingram Micron India</v>
      </c>
      <c r="F837">
        <f t="shared" si="54"/>
        <v>35000</v>
      </c>
      <c r="G837">
        <f t="shared" si="55"/>
        <v>38500</v>
      </c>
    </row>
    <row r="838" spans="1:7" x14ac:dyDescent="0.25">
      <c r="A838" t="s">
        <v>837</v>
      </c>
      <c r="B838" t="s">
        <v>1005</v>
      </c>
      <c r="C838" t="str">
        <f t="shared" si="52"/>
        <v>Electronics (Computing Devices)</v>
      </c>
      <c r="D838" t="str">
        <f>IF(B260="Smartphone",
"Apple",
IF(B260="Smartwatch",
"Apple",
IF(B260="Laptop",
"Lenovo",
IF(B260="Desktop PC",
"Apple",
IF(B260="Tablet",
"Apple",
IF(B260="Headphone",
"Sony",
IF(B260="Camera",
"Sony",
IF(B260="Printer",
"HP",
IF(B260="External Hard Disk",
"Seagate",
"Other")))))))))</f>
        <v>HP</v>
      </c>
      <c r="E838" t="str">
        <f t="shared" si="53"/>
        <v>Savex Technologies</v>
      </c>
      <c r="F838">
        <f t="shared" si="54"/>
        <v>40000</v>
      </c>
      <c r="G838">
        <f t="shared" si="55"/>
        <v>44000</v>
      </c>
    </row>
    <row r="839" spans="1:7" x14ac:dyDescent="0.25">
      <c r="A839" t="s">
        <v>838</v>
      </c>
      <c r="B839" t="s">
        <v>1004</v>
      </c>
      <c r="C839" t="str">
        <f t="shared" si="52"/>
        <v>Electronics (Computing Devices)</v>
      </c>
      <c r="D839" t="str">
        <f>IF(B261="Smartphone",
"Apple",
IF(B261="Smartwatch",
"Apple",
IF(B261="Laptop",
"Lenovo",
IF(B261="Desktop PC",
"Apple",
IF(B261="Tablet",
"Apple",
IF(B261="Headphone",
"Sony",
IF(B261="Camera",
"Sony",
IF(B261="Printer",
"HP",
IF(B261="External Hard Disk",
"Seagate",
"Other")))))))))</f>
        <v>Apple</v>
      </c>
      <c r="E839" t="str">
        <f t="shared" si="53"/>
        <v>Redington India</v>
      </c>
      <c r="F839">
        <f t="shared" si="54"/>
        <v>40000</v>
      </c>
      <c r="G839">
        <f t="shared" si="55"/>
        <v>44000</v>
      </c>
    </row>
    <row r="840" spans="1:7" x14ac:dyDescent="0.25">
      <c r="A840" t="s">
        <v>839</v>
      </c>
      <c r="B840" t="s">
        <v>1010</v>
      </c>
      <c r="C840" t="str">
        <f t="shared" si="52"/>
        <v>Office Equipments</v>
      </c>
      <c r="D840" t="str">
        <f>IF(B262="Smartphone",
"Apple",
IF(B262="Smartwatch",
"Apple",
IF(B262="Laptop",
"Lenovo",
IF(B262="Desktop PC",
"Apple",
IF(B262="Tablet",
"Apple",
IF(B262="Headphone",
"Sony",
IF(B262="Camera",
"Sony",
IF(B262="Printer",
"HP",
IF(B262="External Hard Disk",
"Seagate",
"Other")))))))))</f>
        <v>Sony</v>
      </c>
      <c r="E840" t="str">
        <f t="shared" si="53"/>
        <v>Supertron Electronics</v>
      </c>
      <c r="F840">
        <f t="shared" si="54"/>
        <v>60000</v>
      </c>
      <c r="G840">
        <f t="shared" si="55"/>
        <v>66000</v>
      </c>
    </row>
    <row r="841" spans="1:7" x14ac:dyDescent="0.25">
      <c r="A841" t="s">
        <v>840</v>
      </c>
      <c r="B841" t="s">
        <v>1005</v>
      </c>
      <c r="C841" t="str">
        <f t="shared" si="52"/>
        <v>Electronics (Computing Devices)</v>
      </c>
      <c r="D841" t="str">
        <f>IF(B263="Smartphone",
"Apple",
IF(B263="Smartwatch",
"Apple",
IF(B263="Laptop",
"Lenovo",
IF(B263="Desktop PC",
"Apple",
IF(B263="Tablet",
"Apple",
IF(B263="Headphone",
"Sony",
IF(B263="Camera",
"Sony",
IF(B263="Printer",
"HP",
IF(B263="External Hard Disk",
"Seagate",
"Other")))))))))</f>
        <v>Sony</v>
      </c>
      <c r="E841" t="str">
        <f t="shared" si="53"/>
        <v>Supertron Electronics</v>
      </c>
      <c r="F841">
        <f t="shared" si="54"/>
        <v>60000</v>
      </c>
      <c r="G841">
        <f t="shared" si="55"/>
        <v>66000</v>
      </c>
    </row>
    <row r="842" spans="1:7" x14ac:dyDescent="0.25">
      <c r="A842" t="s">
        <v>841</v>
      </c>
      <c r="B842" t="s">
        <v>1007</v>
      </c>
      <c r="C842" t="str">
        <f t="shared" si="52"/>
        <v>Mobile and Wearables</v>
      </c>
      <c r="D842" t="str">
        <f>IF(B264="Smartphone",
"Apple",
IF(B264="Smartwatch",
"Apple",
IF(B264="Laptop",
"Lenovo",
IF(B264="Desktop PC",
"Apple",
IF(B264="Tablet",
"Apple",
IF(B264="Headphone",
"Sony",
IF(B264="Camera",
"Sony",
IF(B264="Printer",
"HP",
IF(B264="External Hard Disk",
"Seagate",
"Other")))))))))</f>
        <v>HP</v>
      </c>
      <c r="E842" t="str">
        <f t="shared" si="53"/>
        <v>Savex Technologies</v>
      </c>
      <c r="F842">
        <f t="shared" si="54"/>
        <v>40000</v>
      </c>
      <c r="G842">
        <f t="shared" si="55"/>
        <v>44000</v>
      </c>
    </row>
    <row r="843" spans="1:7" x14ac:dyDescent="0.25">
      <c r="A843" t="s">
        <v>842</v>
      </c>
      <c r="B843" t="s">
        <v>1004</v>
      </c>
      <c r="C843" t="str">
        <f t="shared" si="52"/>
        <v>Electronics (Computing Devices)</v>
      </c>
      <c r="D843" t="str">
        <f>IF(B265="Smartphone",
"Apple",
IF(B265="Smartwatch",
"Apple",
IF(B265="Laptop",
"Lenovo",
IF(B265="Desktop PC",
"Apple",
IF(B265="Tablet",
"Apple",
IF(B265="Headphone",
"Sony",
IF(B265="Camera",
"Sony",
IF(B265="Printer",
"HP",
IF(B265="External Hard Disk",
"Seagate",
"Other")))))))))</f>
        <v>Apple</v>
      </c>
      <c r="E843" t="str">
        <f t="shared" si="53"/>
        <v>Redington India</v>
      </c>
      <c r="F843">
        <f t="shared" si="54"/>
        <v>40000</v>
      </c>
      <c r="G843">
        <f t="shared" si="55"/>
        <v>44000</v>
      </c>
    </row>
    <row r="844" spans="1:7" x14ac:dyDescent="0.25">
      <c r="A844" t="s">
        <v>843</v>
      </c>
      <c r="B844" t="s">
        <v>1004</v>
      </c>
      <c r="C844" t="str">
        <f t="shared" si="52"/>
        <v>Electronics (Computing Devices)</v>
      </c>
      <c r="D844" t="str">
        <f>IF(B266="Smartphone",
"Apple",
IF(B266="Smartwatch",
"Apple",
IF(B266="Laptop",
"Lenovo",
IF(B266="Desktop PC",
"Apple",
IF(B266="Tablet",
"Apple",
IF(B266="Headphone",
"Sony",
IF(B266="Camera",
"Sony",
IF(B266="Printer",
"HP",
IF(B266="External Hard Disk",
"Seagate",
"Other")))))))))</f>
        <v>Lenovo</v>
      </c>
      <c r="E844" t="str">
        <f t="shared" si="53"/>
        <v>Savex Technologies</v>
      </c>
      <c r="F844">
        <f t="shared" si="54"/>
        <v>45000</v>
      </c>
      <c r="G844">
        <f t="shared" si="55"/>
        <v>49500.000000000007</v>
      </c>
    </row>
    <row r="845" spans="1:7" x14ac:dyDescent="0.25">
      <c r="A845" t="s">
        <v>844</v>
      </c>
      <c r="B845" t="s">
        <v>1010</v>
      </c>
      <c r="C845" t="str">
        <f t="shared" si="52"/>
        <v>Office Equipments</v>
      </c>
      <c r="D845" t="str">
        <f>IF(B267="Smartphone",
"Apple",
IF(B267="Smartwatch",
"Apple",
IF(B267="Laptop",
"Lenovo",
IF(B267="Desktop PC",
"Apple",
IF(B267="Tablet",
"Apple",
IF(B267="Headphone",
"Sony",
IF(B267="Camera",
"Sony",
IF(B267="Printer",
"HP",
IF(B267="External Hard Disk",
"Seagate",
"Other")))))))))</f>
        <v>Sony</v>
      </c>
      <c r="E845" t="str">
        <f t="shared" si="53"/>
        <v>Supertron Electronics</v>
      </c>
      <c r="F845">
        <f t="shared" si="54"/>
        <v>60000</v>
      </c>
      <c r="G845">
        <f t="shared" si="55"/>
        <v>66000</v>
      </c>
    </row>
    <row r="846" spans="1:7" x14ac:dyDescent="0.25">
      <c r="A846" t="s">
        <v>845</v>
      </c>
      <c r="B846" t="s">
        <v>1010</v>
      </c>
      <c r="C846" t="str">
        <f t="shared" si="52"/>
        <v>Office Equipments</v>
      </c>
      <c r="D846" t="str">
        <f>IF(B268="Smartphone",
"Apple",
IF(B268="Smartwatch",
"Apple",
IF(B268="Laptop",
"Lenovo",
IF(B268="Desktop PC",
"Apple",
IF(B268="Tablet",
"Apple",
IF(B268="Headphone",
"Sony",
IF(B268="Camera",
"Sony",
IF(B268="Printer",
"HP",
IF(B268="External Hard Disk",
"Seagate",
"Other")))))))))</f>
        <v>Lenovo</v>
      </c>
      <c r="E846" t="str">
        <f t="shared" si="53"/>
        <v>Savex Technologies</v>
      </c>
      <c r="F846">
        <f t="shared" si="54"/>
        <v>45000</v>
      </c>
      <c r="G846">
        <f t="shared" si="55"/>
        <v>49500.000000000007</v>
      </c>
    </row>
    <row r="847" spans="1:7" x14ac:dyDescent="0.25">
      <c r="A847" t="s">
        <v>846</v>
      </c>
      <c r="B847" t="s">
        <v>1005</v>
      </c>
      <c r="C847" t="str">
        <f t="shared" si="52"/>
        <v>Electronics (Computing Devices)</v>
      </c>
      <c r="D847" t="str">
        <f>IF(B269="Smartphone",
"Apple",
IF(B269="Smartwatch",
"Apple",
IF(B269="Laptop",
"Lenovo",
IF(B269="Desktop PC",
"Apple",
IF(B269="Tablet",
"Apple",
IF(B269="Headphone",
"Sony",
IF(B269="Camera",
"Sony",
IF(B269="Printer",
"HP",
IF(B269="External Hard Disk",
"Seagate",
"Other")))))))))</f>
        <v>Sony</v>
      </c>
      <c r="E847" t="str">
        <f t="shared" si="53"/>
        <v>Supertron Electronics</v>
      </c>
      <c r="F847">
        <f t="shared" si="54"/>
        <v>60000</v>
      </c>
      <c r="G847">
        <f t="shared" si="55"/>
        <v>66000</v>
      </c>
    </row>
    <row r="848" spans="1:7" x14ac:dyDescent="0.25">
      <c r="A848" t="s">
        <v>847</v>
      </c>
      <c r="B848" t="s">
        <v>1001</v>
      </c>
      <c r="C848" t="str">
        <f t="shared" si="52"/>
        <v>Mobile and Wearables</v>
      </c>
      <c r="D848" t="str">
        <f>IF(B270="Smartphone",
"Apple",
IF(B270="Smartwatch",
"Apple",
IF(B270="Laptop",
"Lenovo",
IF(B270="Desktop PC",
"Apple",
IF(B270="Tablet",
"Apple",
IF(B270="Headphone",
"Sony",
IF(B270="Camera",
"Sony",
IF(B270="Printer",
"HP",
IF(B270="External Hard Disk",
"Seagate",
"Other")))))))))</f>
        <v>Seagate</v>
      </c>
      <c r="E848" t="str">
        <f t="shared" si="53"/>
        <v>Ingram Micron India</v>
      </c>
      <c r="F848">
        <f t="shared" si="54"/>
        <v>35000</v>
      </c>
      <c r="G848">
        <f t="shared" si="55"/>
        <v>38500</v>
      </c>
    </row>
    <row r="849" spans="1:7" x14ac:dyDescent="0.25">
      <c r="A849" t="s">
        <v>848</v>
      </c>
      <c r="B849" t="s">
        <v>1009</v>
      </c>
      <c r="C849" t="str">
        <f t="shared" si="52"/>
        <v>Office Equipments</v>
      </c>
      <c r="D849" t="str">
        <f>IF(B271="Smartphone",
"Apple",
IF(B271="Smartwatch",
"Apple",
IF(B271="Laptop",
"Lenovo",
IF(B271="Desktop PC",
"Apple",
IF(B271="Tablet",
"Apple",
IF(B271="Headphone",
"Sony",
IF(B271="Camera",
"Sony",
IF(B271="Printer",
"HP",
IF(B271="External Hard Disk",
"Seagate",
"Other")))))))))</f>
        <v>Apple</v>
      </c>
      <c r="E849" t="str">
        <f t="shared" si="53"/>
        <v>Redington India</v>
      </c>
      <c r="F849">
        <f t="shared" si="54"/>
        <v>40000</v>
      </c>
      <c r="G849">
        <f t="shared" si="55"/>
        <v>44000</v>
      </c>
    </row>
    <row r="850" spans="1:7" x14ac:dyDescent="0.25">
      <c r="A850" t="s">
        <v>849</v>
      </c>
      <c r="B850" t="s">
        <v>1001</v>
      </c>
      <c r="C850" t="str">
        <f t="shared" si="52"/>
        <v>Mobile and Wearables</v>
      </c>
      <c r="D850" t="str">
        <f>IF(B272="Smartphone",
"Apple",
IF(B272="Smartwatch",
"Apple",
IF(B272="Laptop",
"Lenovo",
IF(B272="Desktop PC",
"Apple",
IF(B272="Tablet",
"Apple",
IF(B272="Headphone",
"Sony",
IF(B272="Camera",
"Sony",
IF(B272="Printer",
"HP",
IF(B272="External Hard Disk",
"Seagate",
"Other")))))))))</f>
        <v>Apple</v>
      </c>
      <c r="E850" t="str">
        <f t="shared" si="53"/>
        <v>Redington India</v>
      </c>
      <c r="F850">
        <f t="shared" si="54"/>
        <v>40000</v>
      </c>
      <c r="G850">
        <f t="shared" si="55"/>
        <v>44000</v>
      </c>
    </row>
    <row r="851" spans="1:7" x14ac:dyDescent="0.25">
      <c r="A851" t="s">
        <v>850</v>
      </c>
      <c r="B851" t="s">
        <v>1009</v>
      </c>
      <c r="C851" t="str">
        <f t="shared" si="52"/>
        <v>Office Equipments</v>
      </c>
      <c r="D851" t="str">
        <f>IF(B273="Smartphone",
"Apple",
IF(B273="Smartwatch",
"Apple",
IF(B273="Laptop",
"Lenovo",
IF(B273="Desktop PC",
"Apple",
IF(B273="Tablet",
"Apple",
IF(B273="Headphone",
"Sony",
IF(B273="Camera",
"Sony",
IF(B273="Printer",
"HP",
IF(B273="External Hard Disk",
"Seagate",
"Other")))))))))</f>
        <v>Apple</v>
      </c>
      <c r="E851" t="str">
        <f t="shared" si="53"/>
        <v>Redington India</v>
      </c>
      <c r="F851">
        <f t="shared" si="54"/>
        <v>40000</v>
      </c>
      <c r="G851">
        <f t="shared" si="55"/>
        <v>44000</v>
      </c>
    </row>
    <row r="852" spans="1:7" x14ac:dyDescent="0.25">
      <c r="A852" t="s">
        <v>851</v>
      </c>
      <c r="B852" t="s">
        <v>1010</v>
      </c>
      <c r="C852" t="str">
        <f t="shared" si="52"/>
        <v>Office Equipments</v>
      </c>
      <c r="D852" t="str">
        <f>IF(B274="Smartphone",
"Apple",
IF(B274="Smartwatch",
"Apple",
IF(B274="Laptop",
"Lenovo",
IF(B274="Desktop PC",
"Apple",
IF(B274="Tablet",
"Apple",
IF(B274="Headphone",
"Sony",
IF(B274="Camera",
"Sony",
IF(B274="Printer",
"HP",
IF(B274="External Hard Disk",
"Seagate",
"Other")))))))))</f>
        <v>Apple</v>
      </c>
      <c r="E852" t="str">
        <f t="shared" si="53"/>
        <v>Redington India</v>
      </c>
      <c r="F852">
        <f t="shared" si="54"/>
        <v>40000</v>
      </c>
      <c r="G852">
        <f t="shared" si="55"/>
        <v>44000</v>
      </c>
    </row>
    <row r="853" spans="1:7" x14ac:dyDescent="0.25">
      <c r="A853" t="s">
        <v>852</v>
      </c>
      <c r="B853" t="s">
        <v>1003</v>
      </c>
      <c r="C853" t="str">
        <f t="shared" si="52"/>
        <v>Electronics (Computing Devices)</v>
      </c>
      <c r="D853" t="str">
        <f>IF(B275="Smartphone",
"Apple",
IF(B275="Smartwatch",
"Apple",
IF(B275="Laptop",
"Lenovo",
IF(B275="Desktop PC",
"Apple",
IF(B275="Tablet",
"Apple",
IF(B275="Headphone",
"Sony",
IF(B275="Camera",
"Sony",
IF(B275="Printer",
"HP",
IF(B275="External Hard Disk",
"Seagate",
"Other")))))))))</f>
        <v>Apple</v>
      </c>
      <c r="E853" t="str">
        <f t="shared" si="53"/>
        <v>Redington India</v>
      </c>
      <c r="F853">
        <f t="shared" si="54"/>
        <v>40000</v>
      </c>
      <c r="G853">
        <f t="shared" si="55"/>
        <v>44000</v>
      </c>
    </row>
    <row r="854" spans="1:7" x14ac:dyDescent="0.25">
      <c r="A854" t="s">
        <v>853</v>
      </c>
      <c r="B854" t="s">
        <v>1012</v>
      </c>
      <c r="C854" t="str">
        <f t="shared" si="52"/>
        <v>Audio Devices</v>
      </c>
      <c r="D854" t="str">
        <f>IF(B276="Smartphone",
"Apple",
IF(B276="Smartwatch",
"Apple",
IF(B276="Laptop",
"Lenovo",
IF(B276="Desktop PC",
"Apple",
IF(B276="Tablet",
"Apple",
IF(B276="Headphone",
"Sony",
IF(B276="Camera",
"Sony",
IF(B276="Printer",
"HP",
IF(B276="External Hard Disk",
"Seagate",
"Other")))))))))</f>
        <v>Apple</v>
      </c>
      <c r="E854" t="str">
        <f t="shared" si="53"/>
        <v>Redington India</v>
      </c>
      <c r="F854">
        <f t="shared" si="54"/>
        <v>40000</v>
      </c>
      <c r="G854">
        <f t="shared" si="55"/>
        <v>44000</v>
      </c>
    </row>
    <row r="855" spans="1:7" x14ac:dyDescent="0.25">
      <c r="A855" t="s">
        <v>854</v>
      </c>
      <c r="B855" t="s">
        <v>1012</v>
      </c>
      <c r="C855" t="str">
        <f t="shared" si="52"/>
        <v>Audio Devices</v>
      </c>
      <c r="D855" t="str">
        <f>IF(B277="Smartphone",
"Apple",
IF(B277="Smartwatch",
"Apple",
IF(B277="Laptop",
"Lenovo",
IF(B277="Desktop PC",
"Apple",
IF(B277="Tablet",
"Apple",
IF(B277="Headphone",
"Sony",
IF(B277="Camera",
"Sony",
IF(B277="Printer",
"HP",
IF(B277="External Hard Disk",
"Seagate",
"Other")))))))))</f>
        <v>Apple</v>
      </c>
      <c r="E855" t="str">
        <f t="shared" si="53"/>
        <v>Redington India</v>
      </c>
      <c r="F855">
        <f t="shared" si="54"/>
        <v>40000</v>
      </c>
      <c r="G855">
        <f t="shared" si="55"/>
        <v>44000</v>
      </c>
    </row>
    <row r="856" spans="1:7" x14ac:dyDescent="0.25">
      <c r="A856" t="s">
        <v>855</v>
      </c>
      <c r="B856" t="s">
        <v>1004</v>
      </c>
      <c r="C856" t="str">
        <f t="shared" si="52"/>
        <v>Electronics (Computing Devices)</v>
      </c>
      <c r="D856" t="str">
        <f>IF(B278="Smartphone",
"Apple",
IF(B278="Smartwatch",
"Apple",
IF(B278="Laptop",
"Lenovo",
IF(B278="Desktop PC",
"Apple",
IF(B278="Tablet",
"Apple",
IF(B278="Headphone",
"Sony",
IF(B278="Camera",
"Sony",
IF(B278="Printer",
"HP",
IF(B278="External Hard Disk",
"Seagate",
"Other")))))))))</f>
        <v>Apple</v>
      </c>
      <c r="E856" t="str">
        <f t="shared" si="53"/>
        <v>Redington India</v>
      </c>
      <c r="F856">
        <f t="shared" si="54"/>
        <v>40000</v>
      </c>
      <c r="G856">
        <f t="shared" si="55"/>
        <v>44000</v>
      </c>
    </row>
    <row r="857" spans="1:7" x14ac:dyDescent="0.25">
      <c r="A857" t="s">
        <v>856</v>
      </c>
      <c r="B857" t="s">
        <v>1007</v>
      </c>
      <c r="C857" t="str">
        <f t="shared" si="52"/>
        <v>Mobile and Wearables</v>
      </c>
      <c r="D857" t="str">
        <f>IF(B279="Smartphone",
"Apple",
IF(B279="Smartwatch",
"Apple",
IF(B279="Laptop",
"Lenovo",
IF(B279="Desktop PC",
"Apple",
IF(B279="Tablet",
"Apple",
IF(B279="Headphone",
"Sony",
IF(B279="Camera",
"Sony",
IF(B279="Printer",
"HP",
IF(B279="External Hard Disk",
"Seagate",
"Other")))))))))</f>
        <v>Apple</v>
      </c>
      <c r="E857" t="str">
        <f t="shared" si="53"/>
        <v>Redington India</v>
      </c>
      <c r="F857">
        <f t="shared" si="54"/>
        <v>40000</v>
      </c>
      <c r="G857">
        <f t="shared" si="55"/>
        <v>44000</v>
      </c>
    </row>
    <row r="858" spans="1:7" x14ac:dyDescent="0.25">
      <c r="A858" t="s">
        <v>857</v>
      </c>
      <c r="B858" t="s">
        <v>1004</v>
      </c>
      <c r="C858" t="str">
        <f t="shared" si="52"/>
        <v>Electronics (Computing Devices)</v>
      </c>
      <c r="D858" t="str">
        <f>IF(B280="Smartphone",
"Apple",
IF(B280="Smartwatch",
"Apple",
IF(B280="Laptop",
"Lenovo",
IF(B280="Desktop PC",
"Apple",
IF(B280="Tablet",
"Apple",
IF(B280="Headphone",
"Sony",
IF(B280="Camera",
"Sony",
IF(B280="Printer",
"HP",
IF(B280="External Hard Disk",
"Seagate",
"Other")))))))))</f>
        <v>Sony</v>
      </c>
      <c r="E858" t="str">
        <f t="shared" si="53"/>
        <v>Supertron Electronics</v>
      </c>
      <c r="F858">
        <f t="shared" si="54"/>
        <v>60000</v>
      </c>
      <c r="G858">
        <f t="shared" si="55"/>
        <v>66000</v>
      </c>
    </row>
    <row r="859" spans="1:7" x14ac:dyDescent="0.25">
      <c r="A859" t="s">
        <v>858</v>
      </c>
      <c r="B859" t="s">
        <v>1010</v>
      </c>
      <c r="C859" t="str">
        <f t="shared" si="52"/>
        <v>Office Equipments</v>
      </c>
      <c r="D859" t="str">
        <f>IF(B281="Smartphone",
"Apple",
IF(B281="Smartwatch",
"Apple",
IF(B281="Laptop",
"Lenovo",
IF(B281="Desktop PC",
"Apple",
IF(B281="Tablet",
"Apple",
IF(B281="Headphone",
"Sony",
IF(B281="Camera",
"Sony",
IF(B281="Printer",
"HP",
IF(B281="External Hard Disk",
"Seagate",
"Other")))))))))</f>
        <v>Sony</v>
      </c>
      <c r="E859" t="str">
        <f t="shared" si="53"/>
        <v>Supertron Electronics</v>
      </c>
      <c r="F859">
        <f t="shared" si="54"/>
        <v>60000</v>
      </c>
      <c r="G859">
        <f t="shared" si="55"/>
        <v>66000</v>
      </c>
    </row>
    <row r="860" spans="1:7" x14ac:dyDescent="0.25">
      <c r="A860" t="s">
        <v>859</v>
      </c>
      <c r="B860" t="s">
        <v>1007</v>
      </c>
      <c r="C860" t="str">
        <f t="shared" si="52"/>
        <v>Mobile and Wearables</v>
      </c>
      <c r="D860" t="str">
        <f>IF(B282="Smartphone",
"Apple",
IF(B282="Smartwatch",
"Apple",
IF(B282="Laptop",
"Lenovo",
IF(B282="Desktop PC",
"Apple",
IF(B282="Tablet",
"Apple",
IF(B282="Headphone",
"Sony",
IF(B282="Camera",
"Sony",
IF(B282="Printer",
"HP",
IF(B282="External Hard Disk",
"Seagate",
"Other")))))))))</f>
        <v>Apple</v>
      </c>
      <c r="E860" t="str">
        <f t="shared" si="53"/>
        <v>Redington India</v>
      </c>
      <c r="F860">
        <f t="shared" si="54"/>
        <v>40000</v>
      </c>
      <c r="G860">
        <f t="shared" si="55"/>
        <v>44000</v>
      </c>
    </row>
    <row r="861" spans="1:7" x14ac:dyDescent="0.25">
      <c r="A861" t="s">
        <v>860</v>
      </c>
      <c r="B861" t="s">
        <v>1002</v>
      </c>
      <c r="C861" t="str">
        <f t="shared" si="52"/>
        <v>Electronics (Computing Devices)</v>
      </c>
      <c r="D861" t="str">
        <f>IF(B283="Smartphone",
"Apple",
IF(B283="Smartwatch",
"Apple",
IF(B283="Laptop",
"Lenovo",
IF(B283="Desktop PC",
"Apple",
IF(B283="Tablet",
"Apple",
IF(B283="Headphone",
"Sony",
IF(B283="Camera",
"Sony",
IF(B283="Printer",
"HP",
IF(B283="External Hard Disk",
"Seagate",
"Other")))))))))</f>
        <v>Apple</v>
      </c>
      <c r="E861" t="str">
        <f t="shared" si="53"/>
        <v>Redington India</v>
      </c>
      <c r="F861">
        <f t="shared" si="54"/>
        <v>40000</v>
      </c>
      <c r="G861">
        <f t="shared" si="55"/>
        <v>44000</v>
      </c>
    </row>
    <row r="862" spans="1:7" x14ac:dyDescent="0.25">
      <c r="A862" t="s">
        <v>861</v>
      </c>
      <c r="B862" t="s">
        <v>1003</v>
      </c>
      <c r="C862" t="str">
        <f t="shared" si="52"/>
        <v>Electronics (Computing Devices)</v>
      </c>
      <c r="D862" t="str">
        <f>IF(B284="Smartphone",
"Apple",
IF(B284="Smartwatch",
"Apple",
IF(B284="Laptop",
"Lenovo",
IF(B284="Desktop PC",
"Apple",
IF(B284="Tablet",
"Apple",
IF(B284="Headphone",
"Sony",
IF(B284="Camera",
"Sony",
IF(B284="Printer",
"HP",
IF(B284="External Hard Disk",
"Seagate",
"Other")))))))))</f>
        <v>Lenovo</v>
      </c>
      <c r="E862" t="str">
        <f t="shared" si="53"/>
        <v>Savex Technologies</v>
      </c>
      <c r="F862">
        <f t="shared" si="54"/>
        <v>45000</v>
      </c>
      <c r="G862">
        <f t="shared" si="55"/>
        <v>49500.000000000007</v>
      </c>
    </row>
    <row r="863" spans="1:7" x14ac:dyDescent="0.25">
      <c r="A863" t="s">
        <v>862</v>
      </c>
      <c r="B863" t="s">
        <v>1004</v>
      </c>
      <c r="C863" t="str">
        <f t="shared" si="52"/>
        <v>Electronics (Computing Devices)</v>
      </c>
      <c r="D863" t="str">
        <f>IF(B285="Smartphone",
"Apple",
IF(B285="Smartwatch",
"Apple",
IF(B285="Laptop",
"Lenovo",
IF(B285="Desktop PC",
"Apple",
IF(B285="Tablet",
"Apple",
IF(B285="Headphone",
"Sony",
IF(B285="Camera",
"Sony",
IF(B285="Printer",
"HP",
IF(B285="External Hard Disk",
"Seagate",
"Other")))))))))</f>
        <v>Apple</v>
      </c>
      <c r="E863" t="str">
        <f t="shared" si="53"/>
        <v>Redington India</v>
      </c>
      <c r="F863">
        <f t="shared" si="54"/>
        <v>40000</v>
      </c>
      <c r="G863">
        <f t="shared" si="55"/>
        <v>44000</v>
      </c>
    </row>
    <row r="864" spans="1:7" x14ac:dyDescent="0.25">
      <c r="A864" t="s">
        <v>863</v>
      </c>
      <c r="B864" t="s">
        <v>1003</v>
      </c>
      <c r="C864" t="str">
        <f t="shared" si="52"/>
        <v>Electronics (Computing Devices)</v>
      </c>
      <c r="D864" t="str">
        <f>IF(B286="Smartphone",
"Apple",
IF(B286="Smartwatch",
"Apple",
IF(B286="Laptop",
"Lenovo",
IF(B286="Desktop PC",
"Apple",
IF(B286="Tablet",
"Apple",
IF(B286="Headphone",
"Sony",
IF(B286="Camera",
"Sony",
IF(B286="Printer",
"HP",
IF(B286="External Hard Disk",
"Seagate",
"Other")))))))))</f>
        <v>Apple</v>
      </c>
      <c r="E864" t="str">
        <f t="shared" si="53"/>
        <v>Redington India</v>
      </c>
      <c r="F864">
        <f t="shared" si="54"/>
        <v>40000</v>
      </c>
      <c r="G864">
        <f t="shared" si="55"/>
        <v>44000</v>
      </c>
    </row>
    <row r="865" spans="1:7" x14ac:dyDescent="0.25">
      <c r="A865" t="s">
        <v>864</v>
      </c>
      <c r="B865" t="s">
        <v>1001</v>
      </c>
      <c r="C865" t="str">
        <f t="shared" si="52"/>
        <v>Mobile and Wearables</v>
      </c>
      <c r="D865" t="str">
        <f>IF(B287="Smartphone",
"Apple",
IF(B287="Smartwatch",
"Apple",
IF(B287="Laptop",
"Lenovo",
IF(B287="Desktop PC",
"Apple",
IF(B287="Tablet",
"Apple",
IF(B287="Headphone",
"Sony",
IF(B287="Camera",
"Sony",
IF(B287="Printer",
"HP",
IF(B287="External Hard Disk",
"Seagate",
"Other")))))))))</f>
        <v>Seagate</v>
      </c>
      <c r="E865" t="str">
        <f t="shared" si="53"/>
        <v>Ingram Micron India</v>
      </c>
      <c r="F865">
        <f t="shared" si="54"/>
        <v>35000</v>
      </c>
      <c r="G865">
        <f t="shared" si="55"/>
        <v>38500</v>
      </c>
    </row>
    <row r="866" spans="1:7" x14ac:dyDescent="0.25">
      <c r="A866" t="s">
        <v>865</v>
      </c>
      <c r="B866" t="s">
        <v>1007</v>
      </c>
      <c r="C866" t="str">
        <f t="shared" si="52"/>
        <v>Mobile and Wearables</v>
      </c>
      <c r="D866" t="str">
        <f>IF(B288="Smartphone",
"Apple",
IF(B288="Smartwatch",
"Apple",
IF(B288="Laptop",
"Lenovo",
IF(B288="Desktop PC",
"Apple",
IF(B288="Tablet",
"Apple",
IF(B288="Headphone",
"Sony",
IF(B288="Camera",
"Sony",
IF(B288="Printer",
"HP",
IF(B288="External Hard Disk",
"Seagate",
"Other")))))))))</f>
        <v>Other</v>
      </c>
      <c r="E866" t="str">
        <f t="shared" si="53"/>
        <v>Ingram Micron India</v>
      </c>
      <c r="F866">
        <f t="shared" si="54"/>
        <v>35000</v>
      </c>
      <c r="G866">
        <f t="shared" si="55"/>
        <v>38500</v>
      </c>
    </row>
    <row r="867" spans="1:7" x14ac:dyDescent="0.25">
      <c r="A867" t="s">
        <v>866</v>
      </c>
      <c r="B867" t="s">
        <v>1007</v>
      </c>
      <c r="C867" t="str">
        <f t="shared" si="52"/>
        <v>Mobile and Wearables</v>
      </c>
      <c r="D867" t="str">
        <f>IF(B289="Smartphone",
"Apple",
IF(B289="Smartwatch",
"Apple",
IF(B289="Laptop",
"Lenovo",
IF(B289="Desktop PC",
"Apple",
IF(B289="Tablet",
"Apple",
IF(B289="Headphone",
"Sony",
IF(B289="Camera",
"Sony",
IF(B289="Printer",
"HP",
IF(B289="External Hard Disk",
"Seagate",
"Other")))))))))</f>
        <v>Other</v>
      </c>
      <c r="E867" t="str">
        <f t="shared" si="53"/>
        <v>Ingram Micron India</v>
      </c>
      <c r="F867">
        <f t="shared" si="54"/>
        <v>35000</v>
      </c>
      <c r="G867">
        <f t="shared" si="55"/>
        <v>38500</v>
      </c>
    </row>
    <row r="868" spans="1:7" x14ac:dyDescent="0.25">
      <c r="A868" t="s">
        <v>867</v>
      </c>
      <c r="B868" t="s">
        <v>1009</v>
      </c>
      <c r="C868" t="str">
        <f t="shared" si="52"/>
        <v>Office Equipments</v>
      </c>
      <c r="D868" t="str">
        <f>IF(B290="Smartphone",
"Apple",
IF(B290="Smartwatch",
"Apple",
IF(B290="Laptop",
"Lenovo",
IF(B290="Desktop PC",
"Apple",
IF(B290="Tablet",
"Apple",
IF(B290="Headphone",
"Sony",
IF(B290="Camera",
"Sony",
IF(B290="Printer",
"HP",
IF(B290="External Hard Disk",
"Seagate",
"Other")))))))))</f>
        <v>Apple</v>
      </c>
      <c r="E868" t="str">
        <f t="shared" si="53"/>
        <v>Redington India</v>
      </c>
      <c r="F868">
        <f t="shared" si="54"/>
        <v>40000</v>
      </c>
      <c r="G868">
        <f t="shared" si="55"/>
        <v>44000</v>
      </c>
    </row>
    <row r="869" spans="1:7" x14ac:dyDescent="0.25">
      <c r="A869" t="s">
        <v>868</v>
      </c>
      <c r="B869" t="s">
        <v>1004</v>
      </c>
      <c r="C869" t="str">
        <f t="shared" si="52"/>
        <v>Electronics (Computing Devices)</v>
      </c>
      <c r="D869" t="str">
        <f>IF(B291="Smartphone",
"Apple",
IF(B291="Smartwatch",
"Apple",
IF(B291="Laptop",
"Lenovo",
IF(B291="Desktop PC",
"Apple",
IF(B291="Tablet",
"Apple",
IF(B291="Headphone",
"Sony",
IF(B291="Camera",
"Sony",
IF(B291="Printer",
"HP",
IF(B291="External Hard Disk",
"Seagate",
"Other")))))))))</f>
        <v>Lenovo</v>
      </c>
      <c r="E869" t="str">
        <f t="shared" si="53"/>
        <v>Savex Technologies</v>
      </c>
      <c r="F869">
        <f t="shared" si="54"/>
        <v>45000</v>
      </c>
      <c r="G869">
        <f t="shared" si="55"/>
        <v>49500.000000000007</v>
      </c>
    </row>
    <row r="870" spans="1:7" x14ac:dyDescent="0.25">
      <c r="A870" t="s">
        <v>869</v>
      </c>
      <c r="B870" t="s">
        <v>1004</v>
      </c>
      <c r="C870" t="str">
        <f t="shared" si="52"/>
        <v>Electronics (Computing Devices)</v>
      </c>
      <c r="D870" t="str">
        <f>IF(B292="Smartphone",
"Apple",
IF(B292="Smartwatch",
"Apple",
IF(B292="Laptop",
"Lenovo",
IF(B292="Desktop PC",
"Apple",
IF(B292="Tablet",
"Apple",
IF(B292="Headphone",
"Sony",
IF(B292="Camera",
"Sony",
IF(B292="Printer",
"HP",
IF(B292="External Hard Disk",
"Seagate",
"Other")))))))))</f>
        <v>HP</v>
      </c>
      <c r="E870" t="str">
        <f t="shared" si="53"/>
        <v>Savex Technologies</v>
      </c>
      <c r="F870">
        <f t="shared" si="54"/>
        <v>40000</v>
      </c>
      <c r="G870">
        <f t="shared" si="55"/>
        <v>44000</v>
      </c>
    </row>
    <row r="871" spans="1:7" x14ac:dyDescent="0.25">
      <c r="A871" t="s">
        <v>870</v>
      </c>
      <c r="B871" t="s">
        <v>1012</v>
      </c>
      <c r="C871" t="str">
        <f t="shared" si="52"/>
        <v>Audio Devices</v>
      </c>
      <c r="D871" t="str">
        <f>IF(B293="Smartphone",
"Apple",
IF(B293="Smartwatch",
"Apple",
IF(B293="Laptop",
"Lenovo",
IF(B293="Desktop PC",
"Apple",
IF(B293="Tablet",
"Apple",
IF(B293="Headphone",
"Sony",
IF(B293="Camera",
"Sony",
IF(B293="Printer",
"HP",
IF(B293="External Hard Disk",
"Seagate",
"Other")))))))))</f>
        <v>Apple</v>
      </c>
      <c r="E871" t="str">
        <f t="shared" si="53"/>
        <v>Redington India</v>
      </c>
      <c r="F871">
        <f t="shared" si="54"/>
        <v>40000</v>
      </c>
      <c r="G871">
        <f t="shared" si="55"/>
        <v>44000</v>
      </c>
    </row>
    <row r="872" spans="1:7" x14ac:dyDescent="0.25">
      <c r="A872" t="s">
        <v>871</v>
      </c>
      <c r="B872" t="s">
        <v>1010</v>
      </c>
      <c r="C872" t="str">
        <f t="shared" si="52"/>
        <v>Office Equipments</v>
      </c>
      <c r="D872" t="str">
        <f>IF(B294="Smartphone",
"Apple",
IF(B294="Smartwatch",
"Apple",
IF(B294="Laptop",
"Lenovo",
IF(B294="Desktop PC",
"Apple",
IF(B294="Tablet",
"Apple",
IF(B294="Headphone",
"Sony",
IF(B294="Camera",
"Sony",
IF(B294="Printer",
"HP",
IF(B294="External Hard Disk",
"Seagate",
"Other")))))))))</f>
        <v>Sony</v>
      </c>
      <c r="E872" t="str">
        <f t="shared" si="53"/>
        <v>Supertron Electronics</v>
      </c>
      <c r="F872">
        <f t="shared" si="54"/>
        <v>60000</v>
      </c>
      <c r="G872">
        <f t="shared" si="55"/>
        <v>66000</v>
      </c>
    </row>
    <row r="873" spans="1:7" x14ac:dyDescent="0.25">
      <c r="A873" t="s">
        <v>872</v>
      </c>
      <c r="B873" t="s">
        <v>1003</v>
      </c>
      <c r="C873" t="str">
        <f t="shared" si="52"/>
        <v>Electronics (Computing Devices)</v>
      </c>
      <c r="D873" t="str">
        <f>IF(B295="Smartphone",
"Apple",
IF(B295="Smartwatch",
"Apple",
IF(B295="Laptop",
"Lenovo",
IF(B295="Desktop PC",
"Apple",
IF(B295="Tablet",
"Apple",
IF(B295="Headphone",
"Sony",
IF(B295="Camera",
"Sony",
IF(B295="Printer",
"HP",
IF(B295="External Hard Disk",
"Seagate",
"Other")))))))))</f>
        <v>Sony</v>
      </c>
      <c r="E873" t="str">
        <f t="shared" si="53"/>
        <v>Supertron Electronics</v>
      </c>
      <c r="F873">
        <f t="shared" si="54"/>
        <v>60000</v>
      </c>
      <c r="G873">
        <f t="shared" si="55"/>
        <v>66000</v>
      </c>
    </row>
    <row r="874" spans="1:7" x14ac:dyDescent="0.25">
      <c r="A874" t="s">
        <v>873</v>
      </c>
      <c r="B874" t="s">
        <v>1009</v>
      </c>
      <c r="C874" t="str">
        <f t="shared" si="52"/>
        <v>Office Equipments</v>
      </c>
      <c r="D874" t="str">
        <f>IF(B296="Smartphone",
"Apple",
IF(B296="Smartwatch",
"Apple",
IF(B296="Laptop",
"Lenovo",
IF(B296="Desktop PC",
"Apple",
IF(B296="Tablet",
"Apple",
IF(B296="Headphone",
"Sony",
IF(B296="Camera",
"Sony",
IF(B296="Printer",
"HP",
IF(B296="External Hard Disk",
"Seagate",
"Other")))))))))</f>
        <v>Seagate</v>
      </c>
      <c r="E874" t="str">
        <f t="shared" si="53"/>
        <v>Ingram Micron India</v>
      </c>
      <c r="F874">
        <f t="shared" si="54"/>
        <v>35000</v>
      </c>
      <c r="G874">
        <f t="shared" si="55"/>
        <v>38500</v>
      </c>
    </row>
    <row r="875" spans="1:7" x14ac:dyDescent="0.25">
      <c r="A875" t="s">
        <v>874</v>
      </c>
      <c r="B875" t="s">
        <v>1001</v>
      </c>
      <c r="C875" t="str">
        <f t="shared" si="52"/>
        <v>Mobile and Wearables</v>
      </c>
      <c r="D875" t="str">
        <f>IF(B297="Smartphone",
"Apple",
IF(B297="Smartwatch",
"Apple",
IF(B297="Laptop",
"Lenovo",
IF(B297="Desktop PC",
"Apple",
IF(B297="Tablet",
"Apple",
IF(B297="Headphone",
"Sony",
IF(B297="Camera",
"Sony",
IF(B297="Printer",
"HP",
IF(B297="External Hard Disk",
"Seagate",
"Other")))))))))</f>
        <v>Sony</v>
      </c>
      <c r="E875" t="str">
        <f t="shared" si="53"/>
        <v>Supertron Electronics</v>
      </c>
      <c r="F875">
        <f t="shared" si="54"/>
        <v>60000</v>
      </c>
      <c r="G875">
        <f t="shared" si="55"/>
        <v>66000</v>
      </c>
    </row>
    <row r="876" spans="1:7" x14ac:dyDescent="0.25">
      <c r="A876" t="s">
        <v>875</v>
      </c>
      <c r="B876" t="s">
        <v>1002</v>
      </c>
      <c r="C876" t="str">
        <f t="shared" si="52"/>
        <v>Electronics (Computing Devices)</v>
      </c>
      <c r="D876" t="str">
        <f>IF(B298="Smartphone",
"Apple",
IF(B298="Smartwatch",
"Apple",
IF(B298="Laptop",
"Lenovo",
IF(B298="Desktop PC",
"Apple",
IF(B298="Tablet",
"Apple",
IF(B298="Headphone",
"Sony",
IF(B298="Camera",
"Sony",
IF(B298="Printer",
"HP",
IF(B298="External Hard Disk",
"Seagate",
"Other")))))))))</f>
        <v>Lenovo</v>
      </c>
      <c r="E876" t="str">
        <f t="shared" si="53"/>
        <v>Savex Technologies</v>
      </c>
      <c r="F876">
        <f t="shared" si="54"/>
        <v>45000</v>
      </c>
      <c r="G876">
        <f t="shared" si="55"/>
        <v>49500.000000000007</v>
      </c>
    </row>
    <row r="877" spans="1:7" x14ac:dyDescent="0.25">
      <c r="A877" t="s">
        <v>876</v>
      </c>
      <c r="B877" t="s">
        <v>1005</v>
      </c>
      <c r="C877" t="str">
        <f t="shared" si="52"/>
        <v>Electronics (Computing Devices)</v>
      </c>
      <c r="D877" t="str">
        <f>IF(B299="Smartphone",
"Apple",
IF(B299="Smartwatch",
"Apple",
IF(B299="Laptop",
"Lenovo",
IF(B299="Desktop PC",
"Apple",
IF(B299="Tablet",
"Apple",
IF(B299="Headphone",
"Sony",
IF(B299="Camera",
"Sony",
IF(B299="Printer",
"HP",
IF(B299="External Hard Disk",
"Seagate",
"Other")))))))))</f>
        <v>HP</v>
      </c>
      <c r="E877" t="str">
        <f t="shared" si="53"/>
        <v>Savex Technologies</v>
      </c>
      <c r="F877">
        <f t="shared" si="54"/>
        <v>40000</v>
      </c>
      <c r="G877">
        <f t="shared" si="55"/>
        <v>44000</v>
      </c>
    </row>
    <row r="878" spans="1:7" x14ac:dyDescent="0.25">
      <c r="A878" t="s">
        <v>877</v>
      </c>
      <c r="B878" t="s">
        <v>1005</v>
      </c>
      <c r="C878" t="str">
        <f t="shared" si="52"/>
        <v>Electronics (Computing Devices)</v>
      </c>
      <c r="D878" t="str">
        <f>IF(B300="Smartphone",
"Apple",
IF(B300="Smartwatch",
"Apple",
IF(B300="Laptop",
"Lenovo",
IF(B300="Desktop PC",
"Apple",
IF(B300="Tablet",
"Apple",
IF(B300="Headphone",
"Sony",
IF(B300="Camera",
"Sony",
IF(B300="Printer",
"HP",
IF(B300="External Hard Disk",
"Seagate",
"Other")))))))))</f>
        <v>Apple</v>
      </c>
      <c r="E878" t="str">
        <f t="shared" si="53"/>
        <v>Redington India</v>
      </c>
      <c r="F878">
        <f t="shared" si="54"/>
        <v>40000</v>
      </c>
      <c r="G878">
        <f t="shared" si="55"/>
        <v>44000</v>
      </c>
    </row>
    <row r="879" spans="1:7" x14ac:dyDescent="0.25">
      <c r="A879" t="s">
        <v>878</v>
      </c>
      <c r="B879" t="s">
        <v>1010</v>
      </c>
      <c r="C879" t="str">
        <f t="shared" si="52"/>
        <v>Office Equipments</v>
      </c>
      <c r="D879" t="str">
        <f>IF(B301="Smartphone",
"Apple",
IF(B301="Smartwatch",
"Apple",
IF(B301="Laptop",
"Lenovo",
IF(B301="Desktop PC",
"Apple",
IF(B301="Tablet",
"Apple",
IF(B301="Headphone",
"Sony",
IF(B301="Camera",
"Sony",
IF(B301="Printer",
"HP",
IF(B301="External Hard Disk",
"Seagate",
"Other")))))))))</f>
        <v>Other</v>
      </c>
      <c r="E879" t="str">
        <f t="shared" si="53"/>
        <v>Ingram Micron India</v>
      </c>
      <c r="F879">
        <f t="shared" si="54"/>
        <v>35000</v>
      </c>
      <c r="G879">
        <f t="shared" si="55"/>
        <v>38500</v>
      </c>
    </row>
    <row r="880" spans="1:7" x14ac:dyDescent="0.25">
      <c r="A880" t="s">
        <v>879</v>
      </c>
      <c r="B880" t="s">
        <v>1007</v>
      </c>
      <c r="C880" t="str">
        <f t="shared" si="52"/>
        <v>Mobile and Wearables</v>
      </c>
      <c r="D880" t="str">
        <f>IF(B302="Smartphone",
"Apple",
IF(B302="Smartwatch",
"Apple",
IF(B302="Laptop",
"Lenovo",
IF(B302="Desktop PC",
"Apple",
IF(B302="Tablet",
"Apple",
IF(B302="Headphone",
"Sony",
IF(B302="Camera",
"Sony",
IF(B302="Printer",
"HP",
IF(B302="External Hard Disk",
"Seagate",
"Other")))))))))</f>
        <v>Lenovo</v>
      </c>
      <c r="E880" t="str">
        <f t="shared" si="53"/>
        <v>Savex Technologies</v>
      </c>
      <c r="F880">
        <f t="shared" si="54"/>
        <v>45000</v>
      </c>
      <c r="G880">
        <f t="shared" si="55"/>
        <v>49500.000000000007</v>
      </c>
    </row>
    <row r="881" spans="1:7" x14ac:dyDescent="0.25">
      <c r="A881" t="s">
        <v>880</v>
      </c>
      <c r="B881" t="s">
        <v>1005</v>
      </c>
      <c r="C881" t="str">
        <f t="shared" si="52"/>
        <v>Electronics (Computing Devices)</v>
      </c>
      <c r="D881" t="str">
        <f>IF(B303="Smartphone",
"Apple",
IF(B303="Smartwatch",
"Apple",
IF(B303="Laptop",
"Lenovo",
IF(B303="Desktop PC",
"Apple",
IF(B303="Tablet",
"Apple",
IF(B303="Headphone",
"Sony",
IF(B303="Camera",
"Sony",
IF(B303="Printer",
"HP",
IF(B303="External Hard Disk",
"Seagate",
"Other")))))))))</f>
        <v>Apple</v>
      </c>
      <c r="E881" t="str">
        <f t="shared" si="53"/>
        <v>Redington India</v>
      </c>
      <c r="F881">
        <f t="shared" si="54"/>
        <v>40000</v>
      </c>
      <c r="G881">
        <f t="shared" si="55"/>
        <v>44000</v>
      </c>
    </row>
    <row r="882" spans="1:7" x14ac:dyDescent="0.25">
      <c r="A882" t="s">
        <v>881</v>
      </c>
      <c r="B882" t="s">
        <v>1013</v>
      </c>
      <c r="C882" t="str">
        <f t="shared" si="52"/>
        <v>Storage Devices</v>
      </c>
      <c r="D882" t="str">
        <f>IF(B304="Smartphone",
"Apple",
IF(B304="Smartwatch",
"Apple",
IF(B304="Laptop",
"Lenovo",
IF(B304="Desktop PC",
"Apple",
IF(B304="Tablet",
"Apple",
IF(B304="Headphone",
"Sony",
IF(B304="Camera",
"Sony",
IF(B304="Printer",
"HP",
IF(B304="External Hard Disk",
"Seagate",
"Other")))))))))</f>
        <v>Lenovo</v>
      </c>
      <c r="E882" t="str">
        <f t="shared" si="53"/>
        <v>Savex Technologies</v>
      </c>
      <c r="F882">
        <f t="shared" si="54"/>
        <v>45000</v>
      </c>
      <c r="G882">
        <f t="shared" si="55"/>
        <v>49500.000000000007</v>
      </c>
    </row>
    <row r="883" spans="1:7" x14ac:dyDescent="0.25">
      <c r="A883" t="s">
        <v>882</v>
      </c>
      <c r="B883" t="s">
        <v>1005</v>
      </c>
      <c r="C883" t="str">
        <f t="shared" si="52"/>
        <v>Electronics (Computing Devices)</v>
      </c>
      <c r="D883" t="str">
        <f>IF(B305="Smartphone",
"Apple",
IF(B305="Smartwatch",
"Apple",
IF(B305="Laptop",
"Lenovo",
IF(B305="Desktop PC",
"Apple",
IF(B305="Tablet",
"Apple",
IF(B305="Headphone",
"Sony",
IF(B305="Camera",
"Sony",
IF(B305="Printer",
"HP",
IF(B305="External Hard Disk",
"Seagate",
"Other")))))))))</f>
        <v>Apple</v>
      </c>
      <c r="E883" t="str">
        <f t="shared" si="53"/>
        <v>Redington India</v>
      </c>
      <c r="F883">
        <f t="shared" si="54"/>
        <v>40000</v>
      </c>
      <c r="G883">
        <f t="shared" si="55"/>
        <v>44000</v>
      </c>
    </row>
    <row r="884" spans="1:7" x14ac:dyDescent="0.25">
      <c r="A884" t="s">
        <v>883</v>
      </c>
      <c r="B884" t="s">
        <v>1010</v>
      </c>
      <c r="C884" t="str">
        <f t="shared" si="52"/>
        <v>Office Equipments</v>
      </c>
      <c r="D884" t="str">
        <f>IF(B306="Smartphone",
"Apple",
IF(B306="Smartwatch",
"Apple",
IF(B306="Laptop",
"Lenovo",
IF(B306="Desktop PC",
"Apple",
IF(B306="Tablet",
"Apple",
IF(B306="Headphone",
"Sony",
IF(B306="Camera",
"Sony",
IF(B306="Printer",
"HP",
IF(B306="External Hard Disk",
"Seagate",
"Other")))))))))</f>
        <v>Apple</v>
      </c>
      <c r="E884" t="str">
        <f t="shared" si="53"/>
        <v>Redington India</v>
      </c>
      <c r="F884">
        <f t="shared" si="54"/>
        <v>40000</v>
      </c>
      <c r="G884">
        <f t="shared" si="55"/>
        <v>44000</v>
      </c>
    </row>
    <row r="885" spans="1:7" x14ac:dyDescent="0.25">
      <c r="A885" t="s">
        <v>884</v>
      </c>
      <c r="B885" t="s">
        <v>1012</v>
      </c>
      <c r="C885" t="str">
        <f t="shared" si="52"/>
        <v>Audio Devices</v>
      </c>
      <c r="D885" t="str">
        <f>IF(B307="Smartphone",
"Apple",
IF(B307="Smartwatch",
"Apple",
IF(B307="Laptop",
"Lenovo",
IF(B307="Desktop PC",
"Apple",
IF(B307="Tablet",
"Apple",
IF(B307="Headphone",
"Sony",
IF(B307="Camera",
"Sony",
IF(B307="Printer",
"HP",
IF(B307="External Hard Disk",
"Seagate",
"Other")))))))))</f>
        <v>Sony</v>
      </c>
      <c r="E885" t="str">
        <f t="shared" si="53"/>
        <v>Supertron Electronics</v>
      </c>
      <c r="F885">
        <f t="shared" si="54"/>
        <v>60000</v>
      </c>
      <c r="G885">
        <f t="shared" si="55"/>
        <v>66000</v>
      </c>
    </row>
    <row r="886" spans="1:7" x14ac:dyDescent="0.25">
      <c r="A886" t="s">
        <v>885</v>
      </c>
      <c r="B886" t="s">
        <v>1001</v>
      </c>
      <c r="C886" t="str">
        <f t="shared" si="52"/>
        <v>Mobile and Wearables</v>
      </c>
      <c r="D886" t="str">
        <f>IF(B308="Smartphone",
"Apple",
IF(B308="Smartwatch",
"Apple",
IF(B308="Laptop",
"Lenovo",
IF(B308="Desktop PC",
"Apple",
IF(B308="Tablet",
"Apple",
IF(B308="Headphone",
"Sony",
IF(B308="Camera",
"Sony",
IF(B308="Printer",
"HP",
IF(B308="External Hard Disk",
"Seagate",
"Other")))))))))</f>
        <v>Sony</v>
      </c>
      <c r="E886" t="str">
        <f t="shared" si="53"/>
        <v>Supertron Electronics</v>
      </c>
      <c r="F886">
        <f t="shared" si="54"/>
        <v>60000</v>
      </c>
      <c r="G886">
        <f t="shared" si="55"/>
        <v>66000</v>
      </c>
    </row>
    <row r="887" spans="1:7" x14ac:dyDescent="0.25">
      <c r="A887" t="s">
        <v>886</v>
      </c>
      <c r="B887" t="s">
        <v>1007</v>
      </c>
      <c r="C887" t="str">
        <f t="shared" si="52"/>
        <v>Mobile and Wearables</v>
      </c>
      <c r="D887" t="str">
        <f>IF(B309="Smartphone",
"Apple",
IF(B309="Smartwatch",
"Apple",
IF(B309="Laptop",
"Lenovo",
IF(B309="Desktop PC",
"Apple",
IF(B309="Tablet",
"Apple",
IF(B309="Headphone",
"Sony",
IF(B309="Camera",
"Sony",
IF(B309="Printer",
"HP",
IF(B309="External Hard Disk",
"Seagate",
"Other")))))))))</f>
        <v>Apple</v>
      </c>
      <c r="E887" t="str">
        <f t="shared" si="53"/>
        <v>Redington India</v>
      </c>
      <c r="F887">
        <f t="shared" si="54"/>
        <v>40000</v>
      </c>
      <c r="G887">
        <f t="shared" si="55"/>
        <v>44000</v>
      </c>
    </row>
    <row r="888" spans="1:7" x14ac:dyDescent="0.25">
      <c r="A888" t="s">
        <v>887</v>
      </c>
      <c r="B888" t="s">
        <v>1003</v>
      </c>
      <c r="C888" t="str">
        <f t="shared" si="52"/>
        <v>Electronics (Computing Devices)</v>
      </c>
      <c r="D888" t="str">
        <f>IF(B310="Smartphone",
"Apple",
IF(B310="Smartwatch",
"Apple",
IF(B310="Laptop",
"Lenovo",
IF(B310="Desktop PC",
"Apple",
IF(B310="Tablet",
"Apple",
IF(B310="Headphone",
"Sony",
IF(B310="Camera",
"Sony",
IF(B310="Printer",
"HP",
IF(B310="External Hard Disk",
"Seagate",
"Other")))))))))</f>
        <v>Sony</v>
      </c>
      <c r="E888" t="str">
        <f t="shared" si="53"/>
        <v>Supertron Electronics</v>
      </c>
      <c r="F888">
        <f t="shared" si="54"/>
        <v>60000</v>
      </c>
      <c r="G888">
        <f t="shared" si="55"/>
        <v>66000</v>
      </c>
    </row>
    <row r="889" spans="1:7" x14ac:dyDescent="0.25">
      <c r="A889" t="s">
        <v>888</v>
      </c>
      <c r="B889" t="s">
        <v>1009</v>
      </c>
      <c r="C889" t="str">
        <f t="shared" si="52"/>
        <v>Office Equipments</v>
      </c>
      <c r="D889" t="str">
        <f>IF(B311="Smartphone",
"Apple",
IF(B311="Smartwatch",
"Apple",
IF(B311="Laptop",
"Lenovo",
IF(B311="Desktop PC",
"Apple",
IF(B311="Tablet",
"Apple",
IF(B311="Headphone",
"Sony",
IF(B311="Camera",
"Sony",
IF(B311="Printer",
"HP",
IF(B311="External Hard Disk",
"Seagate",
"Other")))))))))</f>
        <v>Sony</v>
      </c>
      <c r="E889" t="str">
        <f t="shared" si="53"/>
        <v>Supertron Electronics</v>
      </c>
      <c r="F889">
        <f t="shared" si="54"/>
        <v>60000</v>
      </c>
      <c r="G889">
        <f t="shared" si="55"/>
        <v>66000</v>
      </c>
    </row>
    <row r="890" spans="1:7" x14ac:dyDescent="0.25">
      <c r="A890" t="s">
        <v>889</v>
      </c>
      <c r="B890" t="s">
        <v>1009</v>
      </c>
      <c r="C890" t="str">
        <f t="shared" si="52"/>
        <v>Office Equipments</v>
      </c>
      <c r="D890" t="str">
        <f>IF(B312="Smartphone",
"Apple",
IF(B312="Smartwatch",
"Apple",
IF(B312="Laptop",
"Lenovo",
IF(B312="Desktop PC",
"Apple",
IF(B312="Tablet",
"Apple",
IF(B312="Headphone",
"Sony",
IF(B312="Camera",
"Sony",
IF(B312="Printer",
"HP",
IF(B312="External Hard Disk",
"Seagate",
"Other")))))))))</f>
        <v>Apple</v>
      </c>
      <c r="E890" t="str">
        <f t="shared" si="53"/>
        <v>Redington India</v>
      </c>
      <c r="F890">
        <f t="shared" si="54"/>
        <v>40000</v>
      </c>
      <c r="G890">
        <f t="shared" si="55"/>
        <v>44000</v>
      </c>
    </row>
    <row r="891" spans="1:7" x14ac:dyDescent="0.25">
      <c r="A891" t="s">
        <v>890</v>
      </c>
      <c r="B891" t="s">
        <v>1003</v>
      </c>
      <c r="C891" t="str">
        <f t="shared" si="52"/>
        <v>Electronics (Computing Devices)</v>
      </c>
      <c r="D891" t="str">
        <f>IF(B313="Smartphone",
"Apple",
IF(B313="Smartwatch",
"Apple",
IF(B313="Laptop",
"Lenovo",
IF(B313="Desktop PC",
"Apple",
IF(B313="Tablet",
"Apple",
IF(B313="Headphone",
"Sony",
IF(B313="Camera",
"Sony",
IF(B313="Printer",
"HP",
IF(B313="External Hard Disk",
"Seagate",
"Other")))))))))</f>
        <v>Seagate</v>
      </c>
      <c r="E891" t="str">
        <f t="shared" si="53"/>
        <v>Ingram Micron India</v>
      </c>
      <c r="F891">
        <f t="shared" si="54"/>
        <v>35000</v>
      </c>
      <c r="G891">
        <f t="shared" si="55"/>
        <v>38500</v>
      </c>
    </row>
    <row r="892" spans="1:7" x14ac:dyDescent="0.25">
      <c r="A892" t="s">
        <v>891</v>
      </c>
      <c r="B892" t="s">
        <v>1004</v>
      </c>
      <c r="C892" t="str">
        <f t="shared" si="52"/>
        <v>Electronics (Computing Devices)</v>
      </c>
      <c r="D892" t="str">
        <f>IF(B314="Smartphone",
"Apple",
IF(B314="Smartwatch",
"Apple",
IF(B314="Laptop",
"Lenovo",
IF(B314="Desktop PC",
"Apple",
IF(B314="Tablet",
"Apple",
IF(B314="Headphone",
"Sony",
IF(B314="Camera",
"Sony",
IF(B314="Printer",
"HP",
IF(B314="External Hard Disk",
"Seagate",
"Other")))))))))</f>
        <v>Seagate</v>
      </c>
      <c r="E892" t="str">
        <f t="shared" si="53"/>
        <v>Ingram Micron India</v>
      </c>
      <c r="F892">
        <f t="shared" si="54"/>
        <v>35000</v>
      </c>
      <c r="G892">
        <f t="shared" si="55"/>
        <v>38500</v>
      </c>
    </row>
    <row r="893" spans="1:7" x14ac:dyDescent="0.25">
      <c r="A893" t="s">
        <v>892</v>
      </c>
      <c r="B893" t="s">
        <v>1013</v>
      </c>
      <c r="C893" t="str">
        <f t="shared" si="52"/>
        <v>Storage Devices</v>
      </c>
      <c r="D893" t="str">
        <f>IF(B315="Smartphone",
"Apple",
IF(B315="Smartwatch",
"Apple",
IF(B315="Laptop",
"Lenovo",
IF(B315="Desktop PC",
"Apple",
IF(B315="Tablet",
"Apple",
IF(B315="Headphone",
"Sony",
IF(B315="Camera",
"Sony",
IF(B315="Printer",
"HP",
IF(B315="External Hard Disk",
"Seagate",
"Other")))))))))</f>
        <v>Seagate</v>
      </c>
      <c r="E893" t="str">
        <f t="shared" si="53"/>
        <v>Ingram Micron India</v>
      </c>
      <c r="F893">
        <f t="shared" si="54"/>
        <v>35000</v>
      </c>
      <c r="G893">
        <f t="shared" si="55"/>
        <v>38500</v>
      </c>
    </row>
    <row r="894" spans="1:7" x14ac:dyDescent="0.25">
      <c r="A894" t="s">
        <v>893</v>
      </c>
      <c r="B894" t="s">
        <v>1010</v>
      </c>
      <c r="C894" t="str">
        <f t="shared" si="52"/>
        <v>Office Equipments</v>
      </c>
      <c r="D894" t="str">
        <f>IF(B316="Smartphone",
"Apple",
IF(B316="Smartwatch",
"Apple",
IF(B316="Laptop",
"Lenovo",
IF(B316="Desktop PC",
"Apple",
IF(B316="Tablet",
"Apple",
IF(B316="Headphone",
"Sony",
IF(B316="Camera",
"Sony",
IF(B316="Printer",
"HP",
IF(B316="External Hard Disk",
"Seagate",
"Other")))))))))</f>
        <v>Apple</v>
      </c>
      <c r="E894" t="str">
        <f t="shared" si="53"/>
        <v>Redington India</v>
      </c>
      <c r="F894">
        <f t="shared" si="54"/>
        <v>40000</v>
      </c>
      <c r="G894">
        <f t="shared" si="55"/>
        <v>44000</v>
      </c>
    </row>
    <row r="895" spans="1:7" x14ac:dyDescent="0.25">
      <c r="A895" t="s">
        <v>894</v>
      </c>
      <c r="B895" t="s">
        <v>1001</v>
      </c>
      <c r="C895" t="str">
        <f t="shared" si="52"/>
        <v>Mobile and Wearables</v>
      </c>
      <c r="D895" t="str">
        <f>IF(B317="Smartphone",
"Apple",
IF(B317="Smartwatch",
"Apple",
IF(B317="Laptop",
"Lenovo",
IF(B317="Desktop PC",
"Apple",
IF(B317="Tablet",
"Apple",
IF(B317="Headphone",
"Sony",
IF(B317="Camera",
"Sony",
IF(B317="Printer",
"HP",
IF(B317="External Hard Disk",
"Seagate",
"Other")))))))))</f>
        <v>Lenovo</v>
      </c>
      <c r="E895" t="str">
        <f t="shared" si="53"/>
        <v>Savex Technologies</v>
      </c>
      <c r="F895">
        <f t="shared" si="54"/>
        <v>45000</v>
      </c>
      <c r="G895">
        <f t="shared" si="55"/>
        <v>49500.000000000007</v>
      </c>
    </row>
    <row r="896" spans="1:7" x14ac:dyDescent="0.25">
      <c r="A896" t="s">
        <v>895</v>
      </c>
      <c r="B896" t="s">
        <v>1013</v>
      </c>
      <c r="C896" t="str">
        <f t="shared" si="52"/>
        <v>Storage Devices</v>
      </c>
      <c r="D896" t="str">
        <f>IF(B318="Smartphone",
"Apple",
IF(B318="Smartwatch",
"Apple",
IF(B318="Laptop",
"Lenovo",
IF(B318="Desktop PC",
"Apple",
IF(B318="Tablet",
"Apple",
IF(B318="Headphone",
"Sony",
IF(B318="Camera",
"Sony",
IF(B318="Printer",
"HP",
IF(B318="External Hard Disk",
"Seagate",
"Other")))))))))</f>
        <v>Lenovo</v>
      </c>
      <c r="E896" t="str">
        <f t="shared" si="53"/>
        <v>Savex Technologies</v>
      </c>
      <c r="F896">
        <f t="shared" si="54"/>
        <v>45000</v>
      </c>
      <c r="G896">
        <f t="shared" si="55"/>
        <v>49500.000000000007</v>
      </c>
    </row>
    <row r="897" spans="1:7" x14ac:dyDescent="0.25">
      <c r="A897" t="s">
        <v>896</v>
      </c>
      <c r="B897" t="s">
        <v>1009</v>
      </c>
      <c r="C897" t="str">
        <f t="shared" si="52"/>
        <v>Office Equipments</v>
      </c>
      <c r="D897" t="str">
        <f>IF(B319="Smartphone",
"Apple",
IF(B319="Smartwatch",
"Apple",
IF(B319="Laptop",
"Lenovo",
IF(B319="Desktop PC",
"Apple",
IF(B319="Tablet",
"Apple",
IF(B319="Headphone",
"Sony",
IF(B319="Camera",
"Sony",
IF(B319="Printer",
"HP",
IF(B319="External Hard Disk",
"Seagate",
"Other")))))))))</f>
        <v>Sony</v>
      </c>
      <c r="E897" t="str">
        <f t="shared" si="53"/>
        <v>Supertron Electronics</v>
      </c>
      <c r="F897">
        <f t="shared" si="54"/>
        <v>60000</v>
      </c>
      <c r="G897">
        <f t="shared" si="55"/>
        <v>66000</v>
      </c>
    </row>
    <row r="898" spans="1:7" x14ac:dyDescent="0.25">
      <c r="A898" t="s">
        <v>897</v>
      </c>
      <c r="B898" t="s">
        <v>1009</v>
      </c>
      <c r="C898" t="str">
        <f t="shared" si="52"/>
        <v>Office Equipments</v>
      </c>
      <c r="D898" t="str">
        <f>IF(B320="Smartphone",
"Apple",
IF(B320="Smartwatch",
"Apple",
IF(B320="Laptop",
"Lenovo",
IF(B320="Desktop PC",
"Apple",
IF(B320="Tablet",
"Apple",
IF(B320="Headphone",
"Sony",
IF(B320="Camera",
"Sony",
IF(B320="Printer",
"HP",
IF(B320="External Hard Disk",
"Seagate",
"Other")))))))))</f>
        <v>Lenovo</v>
      </c>
      <c r="E898" t="str">
        <f t="shared" si="53"/>
        <v>Savex Technologies</v>
      </c>
      <c r="F898">
        <f t="shared" si="54"/>
        <v>45000</v>
      </c>
      <c r="G898">
        <f t="shared" si="55"/>
        <v>49500.000000000007</v>
      </c>
    </row>
    <row r="899" spans="1:7" x14ac:dyDescent="0.25">
      <c r="A899" t="s">
        <v>898</v>
      </c>
      <c r="B899" t="s">
        <v>1010</v>
      </c>
      <c r="C899" t="str">
        <f t="shared" ref="C899:C962" si="56">IF(OR(B899="Laptop",B899="Desktop PC",B899="Tablet",B899="E-Reader"),
"Electronics (Computing Devices)",
IF(OR(B899="Smartphone",B899="Smartwatch"),
"Mobile and Wearables",
IF(B899="Headphone",
"Audio Devices",
IF(OR(B899="Printer",B899="Camera"),
"Office Equipments",
IF(B899="External Hard Disk",
"Storage Devices",
"Other")))))</f>
        <v>Office Equipments</v>
      </c>
      <c r="D899" t="str">
        <f>IF(B321="Smartphone",
"Apple",
IF(B321="Smartwatch",
"Apple",
IF(B321="Laptop",
"Lenovo",
IF(B321="Desktop PC",
"Apple",
IF(B321="Tablet",
"Apple",
IF(B321="Headphone",
"Sony",
IF(B321="Camera",
"Sony",
IF(B321="Printer",
"HP",
IF(B321="External Hard Disk",
"Seagate",
"Other")))))))))</f>
        <v>Apple</v>
      </c>
      <c r="E899" t="str">
        <f t="shared" ref="E899:E962" si="57">IF(D899="Apple",
"Redington India",
IF(D899="Samsung",
"Rashi Peripherals",
IF(D899="Sony",
"Supertron Electronics",
IF(OR(D899="Lenovo",D899="HP",D899="Dell"),
"Savex Technologies",
IF(C899="Printer",
"Rashi Peripherals",
IF(C899="Camera",
"Redington India",
IF(C899="External Hard Disk",
"Supertron Electronics",
"Ingram Micron India")))))))</f>
        <v>Redington India</v>
      </c>
      <c r="F899">
        <f t="shared" ref="F899:F962" si="58">IF(D899="Apple",
IF(C899="Smartphone",95000,
IF(C899="Tablet",75000,
IF(C899="Laptop",150000,
IF(C899="Smartwatch",90000,40000)))),
IF(D899="Samsung",
IF(C899="Smartphone",55000,
IF(C899="Tablet",40000,
IF(C899="Smartwatch",25000,30000))),
IF(D899="Lenovo",
IF(C899="Laptop",85000,
IF(C899="Desktop PC",70000,45000)),
IF(D899="HP",
IF(C899="Printer",30000,
IF(C899="Laptop",80000,40000)),
IF(D899="Sony",
IF(C899="Headphone",15000,
IF(C899="Camera",120000,60000)),
IF(C899="External Hard Disk",
IF(D899="Seagate",7000,
IF(D899="Western Digital",8000,7500)),
35000))))))</f>
        <v>40000</v>
      </c>
      <c r="G899">
        <f t="shared" ref="G899:G962" si="59">IF(C899="Smartphone",F899*1.1,
IF(C899="Laptop",F899*1.08,
IF(C899="Tablet",F899*1.12,
IF(C899="Smartwatch",F899*1.15,
IF(C899="Desktop PC",F899*1.07,
IF(C899="Printer",F899*1.18,
IF(C899="Camera",F899*1.12,
IF(C899="Headphone",F899*1.25,
IF(C899="External Hard Disk",F899*1.2,
F899*1.1)))))))))</f>
        <v>44000</v>
      </c>
    </row>
    <row r="900" spans="1:7" x14ac:dyDescent="0.25">
      <c r="A900" t="s">
        <v>899</v>
      </c>
      <c r="B900" t="s">
        <v>1013</v>
      </c>
      <c r="C900" t="str">
        <f t="shared" si="56"/>
        <v>Storage Devices</v>
      </c>
      <c r="D900" t="str">
        <f>IF(B322="Smartphone",
"Apple",
IF(B322="Smartwatch",
"Apple",
IF(B322="Laptop",
"Lenovo",
IF(B322="Desktop PC",
"Apple",
IF(B322="Tablet",
"Apple",
IF(B322="Headphone",
"Sony",
IF(B322="Camera",
"Sony",
IF(B322="Printer",
"HP",
IF(B322="External Hard Disk",
"Seagate",
"Other")))))))))</f>
        <v>Apple</v>
      </c>
      <c r="E900" t="str">
        <f t="shared" si="57"/>
        <v>Redington India</v>
      </c>
      <c r="F900">
        <f t="shared" si="58"/>
        <v>40000</v>
      </c>
      <c r="G900">
        <f t="shared" si="59"/>
        <v>44000</v>
      </c>
    </row>
    <row r="901" spans="1:7" x14ac:dyDescent="0.25">
      <c r="A901" t="s">
        <v>900</v>
      </c>
      <c r="B901" t="s">
        <v>1009</v>
      </c>
      <c r="C901" t="str">
        <f t="shared" si="56"/>
        <v>Office Equipments</v>
      </c>
      <c r="D901" t="str">
        <f>IF(B323="Smartphone",
"Apple",
IF(B323="Smartwatch",
"Apple",
IF(B323="Laptop",
"Lenovo",
IF(B323="Desktop PC",
"Apple",
IF(B323="Tablet",
"Apple",
IF(B323="Headphone",
"Sony",
IF(B323="Camera",
"Sony",
IF(B323="Printer",
"HP",
IF(B323="External Hard Disk",
"Seagate",
"Other")))))))))</f>
        <v>HP</v>
      </c>
      <c r="E901" t="str">
        <f t="shared" si="57"/>
        <v>Savex Technologies</v>
      </c>
      <c r="F901">
        <f t="shared" si="58"/>
        <v>40000</v>
      </c>
      <c r="G901">
        <f t="shared" si="59"/>
        <v>44000</v>
      </c>
    </row>
    <row r="902" spans="1:7" x14ac:dyDescent="0.25">
      <c r="A902" t="s">
        <v>901</v>
      </c>
      <c r="B902" t="s">
        <v>1001</v>
      </c>
      <c r="C902" t="str">
        <f t="shared" si="56"/>
        <v>Mobile and Wearables</v>
      </c>
      <c r="D902" t="str">
        <f>IF(B324="Smartphone",
"Apple",
IF(B324="Smartwatch",
"Apple",
IF(B324="Laptop",
"Lenovo",
IF(B324="Desktop PC",
"Apple",
IF(B324="Tablet",
"Apple",
IF(B324="Headphone",
"Sony",
IF(B324="Camera",
"Sony",
IF(B324="Printer",
"HP",
IF(B324="External Hard Disk",
"Seagate",
"Other")))))))))</f>
        <v>Lenovo</v>
      </c>
      <c r="E902" t="str">
        <f t="shared" si="57"/>
        <v>Savex Technologies</v>
      </c>
      <c r="F902">
        <f t="shared" si="58"/>
        <v>45000</v>
      </c>
      <c r="G902">
        <f t="shared" si="59"/>
        <v>49500.000000000007</v>
      </c>
    </row>
    <row r="903" spans="1:7" x14ac:dyDescent="0.25">
      <c r="A903" t="s">
        <v>902</v>
      </c>
      <c r="B903" t="s">
        <v>1004</v>
      </c>
      <c r="C903" t="str">
        <f t="shared" si="56"/>
        <v>Electronics (Computing Devices)</v>
      </c>
      <c r="D903" t="str">
        <f>IF(B325="Smartphone",
"Apple",
IF(B325="Smartwatch",
"Apple",
IF(B325="Laptop",
"Lenovo",
IF(B325="Desktop PC",
"Apple",
IF(B325="Tablet",
"Apple",
IF(B325="Headphone",
"Sony",
IF(B325="Camera",
"Sony",
IF(B325="Printer",
"HP",
IF(B325="External Hard Disk",
"Seagate",
"Other")))))))))</f>
        <v>Apple</v>
      </c>
      <c r="E903" t="str">
        <f t="shared" si="57"/>
        <v>Redington India</v>
      </c>
      <c r="F903">
        <f t="shared" si="58"/>
        <v>40000</v>
      </c>
      <c r="G903">
        <f t="shared" si="59"/>
        <v>44000</v>
      </c>
    </row>
    <row r="904" spans="1:7" x14ac:dyDescent="0.25">
      <c r="A904" t="s">
        <v>903</v>
      </c>
      <c r="B904" t="s">
        <v>1013</v>
      </c>
      <c r="C904" t="str">
        <f t="shared" si="56"/>
        <v>Storage Devices</v>
      </c>
      <c r="D904" t="str">
        <f>IF(B326="Smartphone",
"Apple",
IF(B326="Smartwatch",
"Apple",
IF(B326="Laptop",
"Lenovo",
IF(B326="Desktop PC",
"Apple",
IF(B326="Tablet",
"Apple",
IF(B326="Headphone",
"Sony",
IF(B326="Camera",
"Sony",
IF(B326="Printer",
"HP",
IF(B326="External Hard Disk",
"Seagate",
"Other")))))))))</f>
        <v>Apple</v>
      </c>
      <c r="E904" t="str">
        <f t="shared" si="57"/>
        <v>Redington India</v>
      </c>
      <c r="F904">
        <f t="shared" si="58"/>
        <v>40000</v>
      </c>
      <c r="G904">
        <f t="shared" si="59"/>
        <v>44000</v>
      </c>
    </row>
    <row r="905" spans="1:7" x14ac:dyDescent="0.25">
      <c r="A905" t="s">
        <v>904</v>
      </c>
      <c r="B905" t="s">
        <v>1013</v>
      </c>
      <c r="C905" t="str">
        <f t="shared" si="56"/>
        <v>Storage Devices</v>
      </c>
      <c r="D905" t="str">
        <f>IF(B327="Smartphone",
"Apple",
IF(B327="Smartwatch",
"Apple",
IF(B327="Laptop",
"Lenovo",
IF(B327="Desktop PC",
"Apple",
IF(B327="Tablet",
"Apple",
IF(B327="Headphone",
"Sony",
IF(B327="Camera",
"Sony",
IF(B327="Printer",
"HP",
IF(B327="External Hard Disk",
"Seagate",
"Other")))))))))</f>
        <v>Sony</v>
      </c>
      <c r="E905" t="str">
        <f t="shared" si="57"/>
        <v>Supertron Electronics</v>
      </c>
      <c r="F905">
        <f t="shared" si="58"/>
        <v>60000</v>
      </c>
      <c r="G905">
        <f t="shared" si="59"/>
        <v>66000</v>
      </c>
    </row>
    <row r="906" spans="1:7" x14ac:dyDescent="0.25">
      <c r="A906" t="s">
        <v>905</v>
      </c>
      <c r="B906" t="s">
        <v>1005</v>
      </c>
      <c r="C906" t="str">
        <f t="shared" si="56"/>
        <v>Electronics (Computing Devices)</v>
      </c>
      <c r="D906" t="str">
        <f>IF(B328="Smartphone",
"Apple",
IF(B328="Smartwatch",
"Apple",
IF(B328="Laptop",
"Lenovo",
IF(B328="Desktop PC",
"Apple",
IF(B328="Tablet",
"Apple",
IF(B328="Headphone",
"Sony",
IF(B328="Camera",
"Sony",
IF(B328="Printer",
"HP",
IF(B328="External Hard Disk",
"Seagate",
"Other")))))))))</f>
        <v>HP</v>
      </c>
      <c r="E906" t="str">
        <f t="shared" si="57"/>
        <v>Savex Technologies</v>
      </c>
      <c r="F906">
        <f t="shared" si="58"/>
        <v>40000</v>
      </c>
      <c r="G906">
        <f t="shared" si="59"/>
        <v>44000</v>
      </c>
    </row>
    <row r="907" spans="1:7" x14ac:dyDescent="0.25">
      <c r="A907" t="s">
        <v>906</v>
      </c>
      <c r="B907" t="s">
        <v>1001</v>
      </c>
      <c r="C907" t="str">
        <f t="shared" si="56"/>
        <v>Mobile and Wearables</v>
      </c>
      <c r="D907" t="str">
        <f>IF(B329="Smartphone",
"Apple",
IF(B329="Smartwatch",
"Apple",
IF(B329="Laptop",
"Lenovo",
IF(B329="Desktop PC",
"Apple",
IF(B329="Tablet",
"Apple",
IF(B329="Headphone",
"Sony",
IF(B329="Camera",
"Sony",
IF(B329="Printer",
"HP",
IF(B329="External Hard Disk",
"Seagate",
"Other")))))))))</f>
        <v>Seagate</v>
      </c>
      <c r="E907" t="str">
        <f t="shared" si="57"/>
        <v>Ingram Micron India</v>
      </c>
      <c r="F907">
        <f t="shared" si="58"/>
        <v>35000</v>
      </c>
      <c r="G907">
        <f t="shared" si="59"/>
        <v>38500</v>
      </c>
    </row>
    <row r="908" spans="1:7" x14ac:dyDescent="0.25">
      <c r="A908" t="s">
        <v>907</v>
      </c>
      <c r="B908" t="s">
        <v>1005</v>
      </c>
      <c r="C908" t="str">
        <f t="shared" si="56"/>
        <v>Electronics (Computing Devices)</v>
      </c>
      <c r="D908" t="str">
        <f>IF(B330="Smartphone",
"Apple",
IF(B330="Smartwatch",
"Apple",
IF(B330="Laptop",
"Lenovo",
IF(B330="Desktop PC",
"Apple",
IF(B330="Tablet",
"Apple",
IF(B330="Headphone",
"Sony",
IF(B330="Camera",
"Sony",
IF(B330="Printer",
"HP",
IF(B330="External Hard Disk",
"Seagate",
"Other")))))))))</f>
        <v>Other</v>
      </c>
      <c r="E908" t="str">
        <f t="shared" si="57"/>
        <v>Ingram Micron India</v>
      </c>
      <c r="F908">
        <f t="shared" si="58"/>
        <v>35000</v>
      </c>
      <c r="G908">
        <f t="shared" si="59"/>
        <v>38500</v>
      </c>
    </row>
    <row r="909" spans="1:7" x14ac:dyDescent="0.25">
      <c r="A909" t="s">
        <v>908</v>
      </c>
      <c r="B909" t="s">
        <v>1007</v>
      </c>
      <c r="C909" t="str">
        <f t="shared" si="56"/>
        <v>Mobile and Wearables</v>
      </c>
      <c r="D909" t="str">
        <f>IF(B331="Smartphone",
"Apple",
IF(B331="Smartwatch",
"Apple",
IF(B331="Laptop",
"Lenovo",
IF(B331="Desktop PC",
"Apple",
IF(B331="Tablet",
"Apple",
IF(B331="Headphone",
"Sony",
IF(B331="Camera",
"Sony",
IF(B331="Printer",
"HP",
IF(B331="External Hard Disk",
"Seagate",
"Other")))))))))</f>
        <v>Lenovo</v>
      </c>
      <c r="E909" t="str">
        <f t="shared" si="57"/>
        <v>Savex Technologies</v>
      </c>
      <c r="F909">
        <f t="shared" si="58"/>
        <v>45000</v>
      </c>
      <c r="G909">
        <f t="shared" si="59"/>
        <v>49500.000000000007</v>
      </c>
    </row>
    <row r="910" spans="1:7" x14ac:dyDescent="0.25">
      <c r="A910" t="s">
        <v>909</v>
      </c>
      <c r="B910" t="s">
        <v>1009</v>
      </c>
      <c r="C910" t="str">
        <f t="shared" si="56"/>
        <v>Office Equipments</v>
      </c>
      <c r="D910" t="str">
        <f>IF(B332="Smartphone",
"Apple",
IF(B332="Smartwatch",
"Apple",
IF(B332="Laptop",
"Lenovo",
IF(B332="Desktop PC",
"Apple",
IF(B332="Tablet",
"Apple",
IF(B332="Headphone",
"Sony",
IF(B332="Camera",
"Sony",
IF(B332="Printer",
"HP",
IF(B332="External Hard Disk",
"Seagate",
"Other")))))))))</f>
        <v>Seagate</v>
      </c>
      <c r="E910" t="str">
        <f t="shared" si="57"/>
        <v>Ingram Micron India</v>
      </c>
      <c r="F910">
        <f t="shared" si="58"/>
        <v>35000</v>
      </c>
      <c r="G910">
        <f t="shared" si="59"/>
        <v>38500</v>
      </c>
    </row>
    <row r="911" spans="1:7" x14ac:dyDescent="0.25">
      <c r="A911" t="s">
        <v>910</v>
      </c>
      <c r="B911" t="s">
        <v>1001</v>
      </c>
      <c r="C911" t="str">
        <f t="shared" si="56"/>
        <v>Mobile and Wearables</v>
      </c>
      <c r="D911" t="str">
        <f>IF(B333="Smartphone",
"Apple",
IF(B333="Smartwatch",
"Apple",
IF(B333="Laptop",
"Lenovo",
IF(B333="Desktop PC",
"Apple",
IF(B333="Tablet",
"Apple",
IF(B333="Headphone",
"Sony",
IF(B333="Camera",
"Sony",
IF(B333="Printer",
"HP",
IF(B333="External Hard Disk",
"Seagate",
"Other")))))))))</f>
        <v>Other</v>
      </c>
      <c r="E911" t="str">
        <f t="shared" si="57"/>
        <v>Ingram Micron India</v>
      </c>
      <c r="F911">
        <f t="shared" si="58"/>
        <v>35000</v>
      </c>
      <c r="G911">
        <f t="shared" si="59"/>
        <v>38500</v>
      </c>
    </row>
    <row r="912" spans="1:7" x14ac:dyDescent="0.25">
      <c r="A912" t="s">
        <v>911</v>
      </c>
      <c r="B912" t="s">
        <v>1004</v>
      </c>
      <c r="C912" t="str">
        <f t="shared" si="56"/>
        <v>Electronics (Computing Devices)</v>
      </c>
      <c r="D912" t="str">
        <f>IF(B334="Smartphone",
"Apple",
IF(B334="Smartwatch",
"Apple",
IF(B334="Laptop",
"Lenovo",
IF(B334="Desktop PC",
"Apple",
IF(B334="Tablet",
"Apple",
IF(B334="Headphone",
"Sony",
IF(B334="Camera",
"Sony",
IF(B334="Printer",
"HP",
IF(B334="External Hard Disk",
"Seagate",
"Other")))))))))</f>
        <v>Apple</v>
      </c>
      <c r="E912" t="str">
        <f t="shared" si="57"/>
        <v>Redington India</v>
      </c>
      <c r="F912">
        <f t="shared" si="58"/>
        <v>40000</v>
      </c>
      <c r="G912">
        <f t="shared" si="59"/>
        <v>44000</v>
      </c>
    </row>
    <row r="913" spans="1:7" x14ac:dyDescent="0.25">
      <c r="A913" t="s">
        <v>912</v>
      </c>
      <c r="B913" t="s">
        <v>1009</v>
      </c>
      <c r="C913" t="str">
        <f t="shared" si="56"/>
        <v>Office Equipments</v>
      </c>
      <c r="D913" t="str">
        <f>IF(B335="Smartphone",
"Apple",
IF(B335="Smartwatch",
"Apple",
IF(B335="Laptop",
"Lenovo",
IF(B335="Desktop PC",
"Apple",
IF(B335="Tablet",
"Apple",
IF(B335="Headphone",
"Sony",
IF(B335="Camera",
"Sony",
IF(B335="Printer",
"HP",
IF(B335="External Hard Disk",
"Seagate",
"Other")))))))))</f>
        <v>Apple</v>
      </c>
      <c r="E913" t="str">
        <f t="shared" si="57"/>
        <v>Redington India</v>
      </c>
      <c r="F913">
        <f t="shared" si="58"/>
        <v>40000</v>
      </c>
      <c r="G913">
        <f t="shared" si="59"/>
        <v>44000</v>
      </c>
    </row>
    <row r="914" spans="1:7" x14ac:dyDescent="0.25">
      <c r="A914" t="s">
        <v>913</v>
      </c>
      <c r="B914" t="s">
        <v>1010</v>
      </c>
      <c r="C914" t="str">
        <f t="shared" si="56"/>
        <v>Office Equipments</v>
      </c>
      <c r="D914" t="str">
        <f>IF(B336="Smartphone",
"Apple",
IF(B336="Smartwatch",
"Apple",
IF(B336="Laptop",
"Lenovo",
IF(B336="Desktop PC",
"Apple",
IF(B336="Tablet",
"Apple",
IF(B336="Headphone",
"Sony",
IF(B336="Camera",
"Sony",
IF(B336="Printer",
"HP",
IF(B336="External Hard Disk",
"Seagate",
"Other")))))))))</f>
        <v>HP</v>
      </c>
      <c r="E914" t="str">
        <f t="shared" si="57"/>
        <v>Savex Technologies</v>
      </c>
      <c r="F914">
        <f t="shared" si="58"/>
        <v>40000</v>
      </c>
      <c r="G914">
        <f t="shared" si="59"/>
        <v>44000</v>
      </c>
    </row>
    <row r="915" spans="1:7" x14ac:dyDescent="0.25">
      <c r="A915" t="s">
        <v>914</v>
      </c>
      <c r="B915" t="s">
        <v>1007</v>
      </c>
      <c r="C915" t="str">
        <f t="shared" si="56"/>
        <v>Mobile and Wearables</v>
      </c>
      <c r="D915" t="str">
        <f>IF(B337="Smartphone",
"Apple",
IF(B337="Smartwatch",
"Apple",
IF(B337="Laptop",
"Lenovo",
IF(B337="Desktop PC",
"Apple",
IF(B337="Tablet",
"Apple",
IF(B337="Headphone",
"Sony",
IF(B337="Camera",
"Sony",
IF(B337="Printer",
"HP",
IF(B337="External Hard Disk",
"Seagate",
"Other")))))))))</f>
        <v>Seagate</v>
      </c>
      <c r="E915" t="str">
        <f t="shared" si="57"/>
        <v>Ingram Micron India</v>
      </c>
      <c r="F915">
        <f t="shared" si="58"/>
        <v>35000</v>
      </c>
      <c r="G915">
        <f t="shared" si="59"/>
        <v>38500</v>
      </c>
    </row>
    <row r="916" spans="1:7" x14ac:dyDescent="0.25">
      <c r="A916" t="s">
        <v>915</v>
      </c>
      <c r="B916" t="s">
        <v>1004</v>
      </c>
      <c r="C916" t="str">
        <f t="shared" si="56"/>
        <v>Electronics (Computing Devices)</v>
      </c>
      <c r="D916" t="str">
        <f>IF(B338="Smartphone",
"Apple",
IF(B338="Smartwatch",
"Apple",
IF(B338="Laptop",
"Lenovo",
IF(B338="Desktop PC",
"Apple",
IF(B338="Tablet",
"Apple",
IF(B338="Headphone",
"Sony",
IF(B338="Camera",
"Sony",
IF(B338="Printer",
"HP",
IF(B338="External Hard Disk",
"Seagate",
"Other")))))))))</f>
        <v>Apple</v>
      </c>
      <c r="E916" t="str">
        <f t="shared" si="57"/>
        <v>Redington India</v>
      </c>
      <c r="F916">
        <f t="shared" si="58"/>
        <v>40000</v>
      </c>
      <c r="G916">
        <f t="shared" si="59"/>
        <v>44000</v>
      </c>
    </row>
    <row r="917" spans="1:7" x14ac:dyDescent="0.25">
      <c r="A917" t="s">
        <v>916</v>
      </c>
      <c r="B917" t="s">
        <v>1005</v>
      </c>
      <c r="C917" t="str">
        <f t="shared" si="56"/>
        <v>Electronics (Computing Devices)</v>
      </c>
      <c r="D917" t="str">
        <f>IF(B339="Smartphone",
"Apple",
IF(B339="Smartwatch",
"Apple",
IF(B339="Laptop",
"Lenovo",
IF(B339="Desktop PC",
"Apple",
IF(B339="Tablet",
"Apple",
IF(B339="Headphone",
"Sony",
IF(B339="Camera",
"Sony",
IF(B339="Printer",
"HP",
IF(B339="External Hard Disk",
"Seagate",
"Other")))))))))</f>
        <v>Apple</v>
      </c>
      <c r="E917" t="str">
        <f t="shared" si="57"/>
        <v>Redington India</v>
      </c>
      <c r="F917">
        <f t="shared" si="58"/>
        <v>40000</v>
      </c>
      <c r="G917">
        <f t="shared" si="59"/>
        <v>44000</v>
      </c>
    </row>
    <row r="918" spans="1:7" x14ac:dyDescent="0.25">
      <c r="A918" t="s">
        <v>917</v>
      </c>
      <c r="B918" t="s">
        <v>1004</v>
      </c>
      <c r="C918" t="str">
        <f t="shared" si="56"/>
        <v>Electronics (Computing Devices)</v>
      </c>
      <c r="D918" t="str">
        <f>IF(B340="Smartphone",
"Apple",
IF(B340="Smartwatch",
"Apple",
IF(B340="Laptop",
"Lenovo",
IF(B340="Desktop PC",
"Apple",
IF(B340="Tablet",
"Apple",
IF(B340="Headphone",
"Sony",
IF(B340="Camera",
"Sony",
IF(B340="Printer",
"HP",
IF(B340="External Hard Disk",
"Seagate",
"Other")))))))))</f>
        <v>Seagate</v>
      </c>
      <c r="E918" t="str">
        <f t="shared" si="57"/>
        <v>Ingram Micron India</v>
      </c>
      <c r="F918">
        <f t="shared" si="58"/>
        <v>35000</v>
      </c>
      <c r="G918">
        <f t="shared" si="59"/>
        <v>38500</v>
      </c>
    </row>
    <row r="919" spans="1:7" x14ac:dyDescent="0.25">
      <c r="A919" t="s">
        <v>918</v>
      </c>
      <c r="B919" t="s">
        <v>1009</v>
      </c>
      <c r="C919" t="str">
        <f t="shared" si="56"/>
        <v>Office Equipments</v>
      </c>
      <c r="D919" t="str">
        <f>IF(B341="Smartphone",
"Apple",
IF(B341="Smartwatch",
"Apple",
IF(B341="Laptop",
"Lenovo",
IF(B341="Desktop PC",
"Apple",
IF(B341="Tablet",
"Apple",
IF(B341="Headphone",
"Sony",
IF(B341="Camera",
"Sony",
IF(B341="Printer",
"HP",
IF(B341="External Hard Disk",
"Seagate",
"Other")))))))))</f>
        <v>Apple</v>
      </c>
      <c r="E919" t="str">
        <f t="shared" si="57"/>
        <v>Redington India</v>
      </c>
      <c r="F919">
        <f t="shared" si="58"/>
        <v>40000</v>
      </c>
      <c r="G919">
        <f t="shared" si="59"/>
        <v>44000</v>
      </c>
    </row>
    <row r="920" spans="1:7" x14ac:dyDescent="0.25">
      <c r="A920" t="s">
        <v>919</v>
      </c>
      <c r="B920" t="s">
        <v>1001</v>
      </c>
      <c r="C920" t="str">
        <f t="shared" si="56"/>
        <v>Mobile and Wearables</v>
      </c>
      <c r="D920" t="str">
        <f>IF(B342="Smartphone",
"Apple",
IF(B342="Smartwatch",
"Apple",
IF(B342="Laptop",
"Lenovo",
IF(B342="Desktop PC",
"Apple",
IF(B342="Tablet",
"Apple",
IF(B342="Headphone",
"Sony",
IF(B342="Camera",
"Sony",
IF(B342="Printer",
"HP",
IF(B342="External Hard Disk",
"Seagate",
"Other")))))))))</f>
        <v>HP</v>
      </c>
      <c r="E920" t="str">
        <f t="shared" si="57"/>
        <v>Savex Technologies</v>
      </c>
      <c r="F920">
        <f t="shared" si="58"/>
        <v>40000</v>
      </c>
      <c r="G920">
        <f t="shared" si="59"/>
        <v>44000</v>
      </c>
    </row>
    <row r="921" spans="1:7" x14ac:dyDescent="0.25">
      <c r="A921" t="s">
        <v>920</v>
      </c>
      <c r="B921" t="s">
        <v>1001</v>
      </c>
      <c r="C921" t="str">
        <f t="shared" si="56"/>
        <v>Mobile and Wearables</v>
      </c>
      <c r="D921" t="str">
        <f>IF(B343="Smartphone",
"Apple",
IF(B343="Smartwatch",
"Apple",
IF(B343="Laptop",
"Lenovo",
IF(B343="Desktop PC",
"Apple",
IF(B343="Tablet",
"Apple",
IF(B343="Headphone",
"Sony",
IF(B343="Camera",
"Sony",
IF(B343="Printer",
"HP",
IF(B343="External Hard Disk",
"Seagate",
"Other")))))))))</f>
        <v>Apple</v>
      </c>
      <c r="E921" t="str">
        <f t="shared" si="57"/>
        <v>Redington India</v>
      </c>
      <c r="F921">
        <f t="shared" si="58"/>
        <v>40000</v>
      </c>
      <c r="G921">
        <f t="shared" si="59"/>
        <v>44000</v>
      </c>
    </row>
    <row r="922" spans="1:7" x14ac:dyDescent="0.25">
      <c r="A922" t="s">
        <v>921</v>
      </c>
      <c r="B922" t="s">
        <v>1003</v>
      </c>
      <c r="C922" t="str">
        <f t="shared" si="56"/>
        <v>Electronics (Computing Devices)</v>
      </c>
      <c r="D922" t="str">
        <f>IF(B344="Smartphone",
"Apple",
IF(B344="Smartwatch",
"Apple",
IF(B344="Laptop",
"Lenovo",
IF(B344="Desktop PC",
"Apple",
IF(B344="Tablet",
"Apple",
IF(B344="Headphone",
"Sony",
IF(B344="Camera",
"Sony",
IF(B344="Printer",
"HP",
IF(B344="External Hard Disk",
"Seagate",
"Other")))))))))</f>
        <v>Sony</v>
      </c>
      <c r="E922" t="str">
        <f t="shared" si="57"/>
        <v>Supertron Electronics</v>
      </c>
      <c r="F922">
        <f t="shared" si="58"/>
        <v>60000</v>
      </c>
      <c r="G922">
        <f t="shared" si="59"/>
        <v>66000</v>
      </c>
    </row>
    <row r="923" spans="1:7" x14ac:dyDescent="0.25">
      <c r="A923" t="s">
        <v>922</v>
      </c>
      <c r="B923" t="s">
        <v>1010</v>
      </c>
      <c r="C923" t="str">
        <f t="shared" si="56"/>
        <v>Office Equipments</v>
      </c>
      <c r="D923" t="str">
        <f>IF(B345="Smartphone",
"Apple",
IF(B345="Smartwatch",
"Apple",
IF(B345="Laptop",
"Lenovo",
IF(B345="Desktop PC",
"Apple",
IF(B345="Tablet",
"Apple",
IF(B345="Headphone",
"Sony",
IF(B345="Camera",
"Sony",
IF(B345="Printer",
"HP",
IF(B345="External Hard Disk",
"Seagate",
"Other")))))))))</f>
        <v>Sony</v>
      </c>
      <c r="E923" t="str">
        <f t="shared" si="57"/>
        <v>Supertron Electronics</v>
      </c>
      <c r="F923">
        <f t="shared" si="58"/>
        <v>60000</v>
      </c>
      <c r="G923">
        <f t="shared" si="59"/>
        <v>66000</v>
      </c>
    </row>
    <row r="924" spans="1:7" x14ac:dyDescent="0.25">
      <c r="A924" t="s">
        <v>923</v>
      </c>
      <c r="B924" t="s">
        <v>1009</v>
      </c>
      <c r="C924" t="str">
        <f t="shared" si="56"/>
        <v>Office Equipments</v>
      </c>
      <c r="D924" t="str">
        <f>IF(B346="Smartphone",
"Apple",
IF(B346="Smartwatch",
"Apple",
IF(B346="Laptop",
"Lenovo",
IF(B346="Desktop PC",
"Apple",
IF(B346="Tablet",
"Apple",
IF(B346="Headphone",
"Sony",
IF(B346="Camera",
"Sony",
IF(B346="Printer",
"HP",
IF(B346="External Hard Disk",
"Seagate",
"Other")))))))))</f>
        <v>HP</v>
      </c>
      <c r="E924" t="str">
        <f t="shared" si="57"/>
        <v>Savex Technologies</v>
      </c>
      <c r="F924">
        <f t="shared" si="58"/>
        <v>40000</v>
      </c>
      <c r="G924">
        <f t="shared" si="59"/>
        <v>44000</v>
      </c>
    </row>
    <row r="925" spans="1:7" x14ac:dyDescent="0.25">
      <c r="A925" t="s">
        <v>924</v>
      </c>
      <c r="B925" t="s">
        <v>1004</v>
      </c>
      <c r="C925" t="str">
        <f t="shared" si="56"/>
        <v>Electronics (Computing Devices)</v>
      </c>
      <c r="D925" t="str">
        <f>IF(B347="Smartphone",
"Apple",
IF(B347="Smartwatch",
"Apple",
IF(B347="Laptop",
"Lenovo",
IF(B347="Desktop PC",
"Apple",
IF(B347="Tablet",
"Apple",
IF(B347="Headphone",
"Sony",
IF(B347="Camera",
"Sony",
IF(B347="Printer",
"HP",
IF(B347="External Hard Disk",
"Seagate",
"Other")))))))))</f>
        <v>Apple</v>
      </c>
      <c r="E925" t="str">
        <f t="shared" si="57"/>
        <v>Redington India</v>
      </c>
      <c r="F925">
        <f t="shared" si="58"/>
        <v>40000</v>
      </c>
      <c r="G925">
        <f t="shared" si="59"/>
        <v>44000</v>
      </c>
    </row>
    <row r="926" spans="1:7" x14ac:dyDescent="0.25">
      <c r="A926" t="s">
        <v>925</v>
      </c>
      <c r="B926" t="s">
        <v>1009</v>
      </c>
      <c r="C926" t="str">
        <f t="shared" si="56"/>
        <v>Office Equipments</v>
      </c>
      <c r="D926" t="str">
        <f>IF(B348="Smartphone",
"Apple",
IF(B348="Smartwatch",
"Apple",
IF(B348="Laptop",
"Lenovo",
IF(B348="Desktop PC",
"Apple",
IF(B348="Tablet",
"Apple",
IF(B348="Headphone",
"Sony",
IF(B348="Camera",
"Sony",
IF(B348="Printer",
"HP",
IF(B348="External Hard Disk",
"Seagate",
"Other")))))))))</f>
        <v>Apple</v>
      </c>
      <c r="E926" t="str">
        <f t="shared" si="57"/>
        <v>Redington India</v>
      </c>
      <c r="F926">
        <f t="shared" si="58"/>
        <v>40000</v>
      </c>
      <c r="G926">
        <f t="shared" si="59"/>
        <v>44000</v>
      </c>
    </row>
    <row r="927" spans="1:7" x14ac:dyDescent="0.25">
      <c r="A927" t="s">
        <v>926</v>
      </c>
      <c r="B927" t="s">
        <v>1003</v>
      </c>
      <c r="C927" t="str">
        <f t="shared" si="56"/>
        <v>Electronics (Computing Devices)</v>
      </c>
      <c r="D927" t="str">
        <f>IF(B349="Smartphone",
"Apple",
IF(B349="Smartwatch",
"Apple",
IF(B349="Laptop",
"Lenovo",
IF(B349="Desktop PC",
"Apple",
IF(B349="Tablet",
"Apple",
IF(B349="Headphone",
"Sony",
IF(B349="Camera",
"Sony",
IF(B349="Printer",
"HP",
IF(B349="External Hard Disk",
"Seagate",
"Other")))))))))</f>
        <v>Seagate</v>
      </c>
      <c r="E927" t="str">
        <f t="shared" si="57"/>
        <v>Ingram Micron India</v>
      </c>
      <c r="F927">
        <f t="shared" si="58"/>
        <v>35000</v>
      </c>
      <c r="G927">
        <f t="shared" si="59"/>
        <v>38500</v>
      </c>
    </row>
    <row r="928" spans="1:7" x14ac:dyDescent="0.25">
      <c r="A928" t="s">
        <v>927</v>
      </c>
      <c r="B928" t="s">
        <v>1003</v>
      </c>
      <c r="C928" t="str">
        <f t="shared" si="56"/>
        <v>Electronics (Computing Devices)</v>
      </c>
      <c r="D928" t="str">
        <f>IF(B350="Smartphone",
"Apple",
IF(B350="Smartwatch",
"Apple",
IF(B350="Laptop",
"Lenovo",
IF(B350="Desktop PC",
"Apple",
IF(B350="Tablet",
"Apple",
IF(B350="Headphone",
"Sony",
IF(B350="Camera",
"Sony",
IF(B350="Printer",
"HP",
IF(B350="External Hard Disk",
"Seagate",
"Other")))))))))</f>
        <v>HP</v>
      </c>
      <c r="E928" t="str">
        <f t="shared" si="57"/>
        <v>Savex Technologies</v>
      </c>
      <c r="F928">
        <f t="shared" si="58"/>
        <v>40000</v>
      </c>
      <c r="G928">
        <f t="shared" si="59"/>
        <v>44000</v>
      </c>
    </row>
    <row r="929" spans="1:7" x14ac:dyDescent="0.25">
      <c r="A929" t="s">
        <v>928</v>
      </c>
      <c r="B929" t="s">
        <v>1005</v>
      </c>
      <c r="C929" t="str">
        <f t="shared" si="56"/>
        <v>Electronics (Computing Devices)</v>
      </c>
      <c r="D929" t="str">
        <f>IF(B351="Smartphone",
"Apple",
IF(B351="Smartwatch",
"Apple",
IF(B351="Laptop",
"Lenovo",
IF(B351="Desktop PC",
"Apple",
IF(B351="Tablet",
"Apple",
IF(B351="Headphone",
"Sony",
IF(B351="Camera",
"Sony",
IF(B351="Printer",
"HP",
IF(B351="External Hard Disk",
"Seagate",
"Other")))))))))</f>
        <v>Apple</v>
      </c>
      <c r="E929" t="str">
        <f t="shared" si="57"/>
        <v>Redington India</v>
      </c>
      <c r="F929">
        <f t="shared" si="58"/>
        <v>40000</v>
      </c>
      <c r="G929">
        <f t="shared" si="59"/>
        <v>44000</v>
      </c>
    </row>
    <row r="930" spans="1:7" x14ac:dyDescent="0.25">
      <c r="A930" t="s">
        <v>929</v>
      </c>
      <c r="B930" t="s">
        <v>1003</v>
      </c>
      <c r="C930" t="str">
        <f t="shared" si="56"/>
        <v>Electronics (Computing Devices)</v>
      </c>
      <c r="D930" t="str">
        <f>IF(B352="Smartphone",
"Apple",
IF(B352="Smartwatch",
"Apple",
IF(B352="Laptop",
"Lenovo",
IF(B352="Desktop PC",
"Apple",
IF(B352="Tablet",
"Apple",
IF(B352="Headphone",
"Sony",
IF(B352="Camera",
"Sony",
IF(B352="Printer",
"HP",
IF(B352="External Hard Disk",
"Seagate",
"Other")))))))))</f>
        <v>HP</v>
      </c>
      <c r="E930" t="str">
        <f t="shared" si="57"/>
        <v>Savex Technologies</v>
      </c>
      <c r="F930">
        <f t="shared" si="58"/>
        <v>40000</v>
      </c>
      <c r="G930">
        <f t="shared" si="59"/>
        <v>44000</v>
      </c>
    </row>
    <row r="931" spans="1:7" x14ac:dyDescent="0.25">
      <c r="A931" t="s">
        <v>930</v>
      </c>
      <c r="B931" t="s">
        <v>1005</v>
      </c>
      <c r="C931" t="str">
        <f t="shared" si="56"/>
        <v>Electronics (Computing Devices)</v>
      </c>
      <c r="D931" t="str">
        <f>IF(B353="Smartphone",
"Apple",
IF(B353="Smartwatch",
"Apple",
IF(B353="Laptop",
"Lenovo",
IF(B353="Desktop PC",
"Apple",
IF(B353="Tablet",
"Apple",
IF(B353="Headphone",
"Sony",
IF(B353="Camera",
"Sony",
IF(B353="Printer",
"HP",
IF(B353="External Hard Disk",
"Seagate",
"Other")))))))))</f>
        <v>Sony</v>
      </c>
      <c r="E931" t="str">
        <f t="shared" si="57"/>
        <v>Supertron Electronics</v>
      </c>
      <c r="F931">
        <f t="shared" si="58"/>
        <v>60000</v>
      </c>
      <c r="G931">
        <f t="shared" si="59"/>
        <v>66000</v>
      </c>
    </row>
    <row r="932" spans="1:7" x14ac:dyDescent="0.25">
      <c r="A932" t="s">
        <v>931</v>
      </c>
      <c r="B932" t="s">
        <v>1010</v>
      </c>
      <c r="C932" t="str">
        <f t="shared" si="56"/>
        <v>Office Equipments</v>
      </c>
      <c r="D932" t="str">
        <f>IF(B354="Smartphone",
"Apple",
IF(B354="Smartwatch",
"Apple",
IF(B354="Laptop",
"Lenovo",
IF(B354="Desktop PC",
"Apple",
IF(B354="Tablet",
"Apple",
IF(B354="Headphone",
"Sony",
IF(B354="Camera",
"Sony",
IF(B354="Printer",
"HP",
IF(B354="External Hard Disk",
"Seagate",
"Other")))))))))</f>
        <v>Apple</v>
      </c>
      <c r="E932" t="str">
        <f t="shared" si="57"/>
        <v>Redington India</v>
      </c>
      <c r="F932">
        <f t="shared" si="58"/>
        <v>40000</v>
      </c>
      <c r="G932">
        <f t="shared" si="59"/>
        <v>44000</v>
      </c>
    </row>
    <row r="933" spans="1:7" x14ac:dyDescent="0.25">
      <c r="A933" t="s">
        <v>932</v>
      </c>
      <c r="B933" t="s">
        <v>1002</v>
      </c>
      <c r="C933" t="str">
        <f t="shared" si="56"/>
        <v>Electronics (Computing Devices)</v>
      </c>
      <c r="D933" t="str">
        <f>IF(B355="Smartphone",
"Apple",
IF(B355="Smartwatch",
"Apple",
IF(B355="Laptop",
"Lenovo",
IF(B355="Desktop PC",
"Apple",
IF(B355="Tablet",
"Apple",
IF(B355="Headphone",
"Sony",
IF(B355="Camera",
"Sony",
IF(B355="Printer",
"HP",
IF(B355="External Hard Disk",
"Seagate",
"Other")))))))))</f>
        <v>Apple</v>
      </c>
      <c r="E933" t="str">
        <f t="shared" si="57"/>
        <v>Redington India</v>
      </c>
      <c r="F933">
        <f t="shared" si="58"/>
        <v>40000</v>
      </c>
      <c r="G933">
        <f t="shared" si="59"/>
        <v>44000</v>
      </c>
    </row>
    <row r="934" spans="1:7" x14ac:dyDescent="0.25">
      <c r="A934" t="s">
        <v>933</v>
      </c>
      <c r="B934" t="s">
        <v>1007</v>
      </c>
      <c r="C934" t="str">
        <f t="shared" si="56"/>
        <v>Mobile and Wearables</v>
      </c>
      <c r="D934" t="str">
        <f>IF(B356="Smartphone",
"Apple",
IF(B356="Smartwatch",
"Apple",
IF(B356="Laptop",
"Lenovo",
IF(B356="Desktop PC",
"Apple",
IF(B356="Tablet",
"Apple",
IF(B356="Headphone",
"Sony",
IF(B356="Camera",
"Sony",
IF(B356="Printer",
"HP",
IF(B356="External Hard Disk",
"Seagate",
"Other")))))))))</f>
        <v>Lenovo</v>
      </c>
      <c r="E934" t="str">
        <f t="shared" si="57"/>
        <v>Savex Technologies</v>
      </c>
      <c r="F934">
        <f t="shared" si="58"/>
        <v>45000</v>
      </c>
      <c r="G934">
        <f t="shared" si="59"/>
        <v>49500.000000000007</v>
      </c>
    </row>
    <row r="935" spans="1:7" x14ac:dyDescent="0.25">
      <c r="A935" t="s">
        <v>934</v>
      </c>
      <c r="B935" t="s">
        <v>1010</v>
      </c>
      <c r="C935" t="str">
        <f t="shared" si="56"/>
        <v>Office Equipments</v>
      </c>
      <c r="D935" t="str">
        <f>IF(B357="Smartphone",
"Apple",
IF(B357="Smartwatch",
"Apple",
IF(B357="Laptop",
"Lenovo",
IF(B357="Desktop PC",
"Apple",
IF(B357="Tablet",
"Apple",
IF(B357="Headphone",
"Sony",
IF(B357="Camera",
"Sony",
IF(B357="Printer",
"HP",
IF(B357="External Hard Disk",
"Seagate",
"Other")))))))))</f>
        <v>Sony</v>
      </c>
      <c r="E935" t="str">
        <f t="shared" si="57"/>
        <v>Supertron Electronics</v>
      </c>
      <c r="F935">
        <f t="shared" si="58"/>
        <v>60000</v>
      </c>
      <c r="G935">
        <f t="shared" si="59"/>
        <v>66000</v>
      </c>
    </row>
    <row r="936" spans="1:7" x14ac:dyDescent="0.25">
      <c r="A936" t="s">
        <v>935</v>
      </c>
      <c r="B936" t="s">
        <v>1003</v>
      </c>
      <c r="C936" t="str">
        <f t="shared" si="56"/>
        <v>Electronics (Computing Devices)</v>
      </c>
      <c r="D936" t="str">
        <f>IF(B358="Smartphone",
"Apple",
IF(B358="Smartwatch",
"Apple",
IF(B358="Laptop",
"Lenovo",
IF(B358="Desktop PC",
"Apple",
IF(B358="Tablet",
"Apple",
IF(B358="Headphone",
"Sony",
IF(B358="Camera",
"Sony",
IF(B358="Printer",
"HP",
IF(B358="External Hard Disk",
"Seagate",
"Other")))))))))</f>
        <v>Sony</v>
      </c>
      <c r="E936" t="str">
        <f t="shared" si="57"/>
        <v>Supertron Electronics</v>
      </c>
      <c r="F936">
        <f t="shared" si="58"/>
        <v>60000</v>
      </c>
      <c r="G936">
        <f t="shared" si="59"/>
        <v>66000</v>
      </c>
    </row>
    <row r="937" spans="1:7" x14ac:dyDescent="0.25">
      <c r="A937" t="s">
        <v>936</v>
      </c>
      <c r="B937" t="s">
        <v>1007</v>
      </c>
      <c r="C937" t="str">
        <f t="shared" si="56"/>
        <v>Mobile and Wearables</v>
      </c>
      <c r="D937" t="str">
        <f>IF(B359="Smartphone",
"Apple",
IF(B359="Smartwatch",
"Apple",
IF(B359="Laptop",
"Lenovo",
IF(B359="Desktop PC",
"Apple",
IF(B359="Tablet",
"Apple",
IF(B359="Headphone",
"Sony",
IF(B359="Camera",
"Sony",
IF(B359="Printer",
"HP",
IF(B359="External Hard Disk",
"Seagate",
"Other")))))))))</f>
        <v>HP</v>
      </c>
      <c r="E937" t="str">
        <f t="shared" si="57"/>
        <v>Savex Technologies</v>
      </c>
      <c r="F937">
        <f t="shared" si="58"/>
        <v>40000</v>
      </c>
      <c r="G937">
        <f t="shared" si="59"/>
        <v>44000</v>
      </c>
    </row>
    <row r="938" spans="1:7" x14ac:dyDescent="0.25">
      <c r="A938" t="s">
        <v>937</v>
      </c>
      <c r="B938" t="s">
        <v>1007</v>
      </c>
      <c r="C938" t="str">
        <f t="shared" si="56"/>
        <v>Mobile and Wearables</v>
      </c>
      <c r="D938" t="str">
        <f>IF(B360="Smartphone",
"Apple",
IF(B360="Smartwatch",
"Apple",
IF(B360="Laptop",
"Lenovo",
IF(B360="Desktop PC",
"Apple",
IF(B360="Tablet",
"Apple",
IF(B360="Headphone",
"Sony",
IF(B360="Camera",
"Sony",
IF(B360="Printer",
"HP",
IF(B360="External Hard Disk",
"Seagate",
"Other")))))))))</f>
        <v>Apple</v>
      </c>
      <c r="E938" t="str">
        <f t="shared" si="57"/>
        <v>Redington India</v>
      </c>
      <c r="F938">
        <f t="shared" si="58"/>
        <v>40000</v>
      </c>
      <c r="G938">
        <f t="shared" si="59"/>
        <v>44000</v>
      </c>
    </row>
    <row r="939" spans="1:7" x14ac:dyDescent="0.25">
      <c r="A939" t="s">
        <v>938</v>
      </c>
      <c r="B939" t="s">
        <v>1004</v>
      </c>
      <c r="C939" t="str">
        <f t="shared" si="56"/>
        <v>Electronics (Computing Devices)</v>
      </c>
      <c r="D939" t="str">
        <f>IF(B361="Smartphone",
"Apple",
IF(B361="Smartwatch",
"Apple",
IF(B361="Laptop",
"Lenovo",
IF(B361="Desktop PC",
"Apple",
IF(B361="Tablet",
"Apple",
IF(B361="Headphone",
"Sony",
IF(B361="Camera",
"Sony",
IF(B361="Printer",
"HP",
IF(B361="External Hard Disk",
"Seagate",
"Other")))))))))</f>
        <v>Sony</v>
      </c>
      <c r="E939" t="str">
        <f t="shared" si="57"/>
        <v>Supertron Electronics</v>
      </c>
      <c r="F939">
        <f t="shared" si="58"/>
        <v>60000</v>
      </c>
      <c r="G939">
        <f t="shared" si="59"/>
        <v>66000</v>
      </c>
    </row>
    <row r="940" spans="1:7" x14ac:dyDescent="0.25">
      <c r="A940" t="s">
        <v>939</v>
      </c>
      <c r="B940" t="s">
        <v>1010</v>
      </c>
      <c r="C940" t="str">
        <f t="shared" si="56"/>
        <v>Office Equipments</v>
      </c>
      <c r="D940" t="str">
        <f>IF(B362="Smartphone",
"Apple",
IF(B362="Smartwatch",
"Apple",
IF(B362="Laptop",
"Lenovo",
IF(B362="Desktop PC",
"Apple",
IF(B362="Tablet",
"Apple",
IF(B362="Headphone",
"Sony",
IF(B362="Camera",
"Sony",
IF(B362="Printer",
"HP",
IF(B362="External Hard Disk",
"Seagate",
"Other")))))))))</f>
        <v>Lenovo</v>
      </c>
      <c r="E940" t="str">
        <f t="shared" si="57"/>
        <v>Savex Technologies</v>
      </c>
      <c r="F940">
        <f t="shared" si="58"/>
        <v>45000</v>
      </c>
      <c r="G940">
        <f t="shared" si="59"/>
        <v>49500.000000000007</v>
      </c>
    </row>
    <row r="941" spans="1:7" x14ac:dyDescent="0.25">
      <c r="A941" t="s">
        <v>940</v>
      </c>
      <c r="B941" t="s">
        <v>1007</v>
      </c>
      <c r="C941" t="str">
        <f t="shared" si="56"/>
        <v>Mobile and Wearables</v>
      </c>
      <c r="D941" t="str">
        <f>IF(B363="Smartphone",
"Apple",
IF(B363="Smartwatch",
"Apple",
IF(B363="Laptop",
"Lenovo",
IF(B363="Desktop PC",
"Apple",
IF(B363="Tablet",
"Apple",
IF(B363="Headphone",
"Sony",
IF(B363="Camera",
"Sony",
IF(B363="Printer",
"HP",
IF(B363="External Hard Disk",
"Seagate",
"Other")))))))))</f>
        <v>Apple</v>
      </c>
      <c r="E941" t="str">
        <f t="shared" si="57"/>
        <v>Redington India</v>
      </c>
      <c r="F941">
        <f t="shared" si="58"/>
        <v>40000</v>
      </c>
      <c r="G941">
        <f t="shared" si="59"/>
        <v>44000</v>
      </c>
    </row>
    <row r="942" spans="1:7" x14ac:dyDescent="0.25">
      <c r="A942" t="s">
        <v>941</v>
      </c>
      <c r="B942" t="s">
        <v>1002</v>
      </c>
      <c r="C942" t="str">
        <f t="shared" si="56"/>
        <v>Electronics (Computing Devices)</v>
      </c>
      <c r="D942" t="str">
        <f>IF(B364="Smartphone",
"Apple",
IF(B364="Smartwatch",
"Apple",
IF(B364="Laptop",
"Lenovo",
IF(B364="Desktop PC",
"Apple",
IF(B364="Tablet",
"Apple",
IF(B364="Headphone",
"Sony",
IF(B364="Camera",
"Sony",
IF(B364="Printer",
"HP",
IF(B364="External Hard Disk",
"Seagate",
"Other")))))))))</f>
        <v>Sony</v>
      </c>
      <c r="E942" t="str">
        <f t="shared" si="57"/>
        <v>Supertron Electronics</v>
      </c>
      <c r="F942">
        <f t="shared" si="58"/>
        <v>60000</v>
      </c>
      <c r="G942">
        <f t="shared" si="59"/>
        <v>66000</v>
      </c>
    </row>
    <row r="943" spans="1:7" x14ac:dyDescent="0.25">
      <c r="A943" t="s">
        <v>942</v>
      </c>
      <c r="B943" t="s">
        <v>1003</v>
      </c>
      <c r="C943" t="str">
        <f t="shared" si="56"/>
        <v>Electronics (Computing Devices)</v>
      </c>
      <c r="D943" t="str">
        <f>IF(B365="Smartphone",
"Apple",
IF(B365="Smartwatch",
"Apple",
IF(B365="Laptop",
"Lenovo",
IF(B365="Desktop PC",
"Apple",
IF(B365="Tablet",
"Apple",
IF(B365="Headphone",
"Sony",
IF(B365="Camera",
"Sony",
IF(B365="Printer",
"HP",
IF(B365="External Hard Disk",
"Seagate",
"Other")))))))))</f>
        <v>HP</v>
      </c>
      <c r="E943" t="str">
        <f t="shared" si="57"/>
        <v>Savex Technologies</v>
      </c>
      <c r="F943">
        <f t="shared" si="58"/>
        <v>40000</v>
      </c>
      <c r="G943">
        <f t="shared" si="59"/>
        <v>44000</v>
      </c>
    </row>
    <row r="944" spans="1:7" x14ac:dyDescent="0.25">
      <c r="A944" t="s">
        <v>943</v>
      </c>
      <c r="B944" t="s">
        <v>1013</v>
      </c>
      <c r="C944" t="str">
        <f t="shared" si="56"/>
        <v>Storage Devices</v>
      </c>
      <c r="D944" t="str">
        <f>IF(B366="Smartphone",
"Apple",
IF(B366="Smartwatch",
"Apple",
IF(B366="Laptop",
"Lenovo",
IF(B366="Desktop PC",
"Apple",
IF(B366="Tablet",
"Apple",
IF(B366="Headphone",
"Sony",
IF(B366="Camera",
"Sony",
IF(B366="Printer",
"HP",
IF(B366="External Hard Disk",
"Seagate",
"Other")))))))))</f>
        <v>Sony</v>
      </c>
      <c r="E944" t="str">
        <f t="shared" si="57"/>
        <v>Supertron Electronics</v>
      </c>
      <c r="F944">
        <f t="shared" si="58"/>
        <v>60000</v>
      </c>
      <c r="G944">
        <f t="shared" si="59"/>
        <v>66000</v>
      </c>
    </row>
    <row r="945" spans="1:7" x14ac:dyDescent="0.25">
      <c r="A945" t="s">
        <v>944</v>
      </c>
      <c r="B945" t="s">
        <v>1007</v>
      </c>
      <c r="C945" t="str">
        <f t="shared" si="56"/>
        <v>Mobile and Wearables</v>
      </c>
      <c r="D945" t="str">
        <f>IF(B367="Smartphone",
"Apple",
IF(B367="Smartwatch",
"Apple",
IF(B367="Laptop",
"Lenovo",
IF(B367="Desktop PC",
"Apple",
IF(B367="Tablet",
"Apple",
IF(B367="Headphone",
"Sony",
IF(B367="Camera",
"Sony",
IF(B367="Printer",
"HP",
IF(B367="External Hard Disk",
"Seagate",
"Other")))))))))</f>
        <v>Seagate</v>
      </c>
      <c r="E945" t="str">
        <f t="shared" si="57"/>
        <v>Ingram Micron India</v>
      </c>
      <c r="F945">
        <f t="shared" si="58"/>
        <v>35000</v>
      </c>
      <c r="G945">
        <f t="shared" si="59"/>
        <v>38500</v>
      </c>
    </row>
    <row r="946" spans="1:7" x14ac:dyDescent="0.25">
      <c r="A946" t="s">
        <v>945</v>
      </c>
      <c r="B946" t="s">
        <v>1009</v>
      </c>
      <c r="C946" t="str">
        <f t="shared" si="56"/>
        <v>Office Equipments</v>
      </c>
      <c r="D946" t="str">
        <f>IF(B368="Smartphone",
"Apple",
IF(B368="Smartwatch",
"Apple",
IF(B368="Laptop",
"Lenovo",
IF(B368="Desktop PC",
"Apple",
IF(B368="Tablet",
"Apple",
IF(B368="Headphone",
"Sony",
IF(B368="Camera",
"Sony",
IF(B368="Printer",
"HP",
IF(B368="External Hard Disk",
"Seagate",
"Other")))))))))</f>
        <v>Lenovo</v>
      </c>
      <c r="E946" t="str">
        <f t="shared" si="57"/>
        <v>Savex Technologies</v>
      </c>
      <c r="F946">
        <f t="shared" si="58"/>
        <v>45000</v>
      </c>
      <c r="G946">
        <f t="shared" si="59"/>
        <v>49500.000000000007</v>
      </c>
    </row>
    <row r="947" spans="1:7" x14ac:dyDescent="0.25">
      <c r="A947" t="s">
        <v>946</v>
      </c>
      <c r="B947" t="s">
        <v>1007</v>
      </c>
      <c r="C947" t="str">
        <f t="shared" si="56"/>
        <v>Mobile and Wearables</v>
      </c>
      <c r="D947" t="str">
        <f>IF(B369="Smartphone",
"Apple",
IF(B369="Smartwatch",
"Apple",
IF(B369="Laptop",
"Lenovo",
IF(B369="Desktop PC",
"Apple",
IF(B369="Tablet",
"Apple",
IF(B369="Headphone",
"Sony",
IF(B369="Camera",
"Sony",
IF(B369="Printer",
"HP",
IF(B369="External Hard Disk",
"Seagate",
"Other")))))))))</f>
        <v>Apple</v>
      </c>
      <c r="E947" t="str">
        <f t="shared" si="57"/>
        <v>Redington India</v>
      </c>
      <c r="F947">
        <f t="shared" si="58"/>
        <v>40000</v>
      </c>
      <c r="G947">
        <f t="shared" si="59"/>
        <v>44000</v>
      </c>
    </row>
    <row r="948" spans="1:7" x14ac:dyDescent="0.25">
      <c r="A948" t="s">
        <v>947</v>
      </c>
      <c r="B948" t="s">
        <v>1013</v>
      </c>
      <c r="C948" t="str">
        <f t="shared" si="56"/>
        <v>Storage Devices</v>
      </c>
      <c r="D948" t="str">
        <f>IF(B370="Smartphone",
"Apple",
IF(B370="Smartwatch",
"Apple",
IF(B370="Laptop",
"Lenovo",
IF(B370="Desktop PC",
"Apple",
IF(B370="Tablet",
"Apple",
IF(B370="Headphone",
"Sony",
IF(B370="Camera",
"Sony",
IF(B370="Printer",
"HP",
IF(B370="External Hard Disk",
"Seagate",
"Other")))))))))</f>
        <v>Apple</v>
      </c>
      <c r="E948" t="str">
        <f t="shared" si="57"/>
        <v>Redington India</v>
      </c>
      <c r="F948">
        <f t="shared" si="58"/>
        <v>40000</v>
      </c>
      <c r="G948">
        <f t="shared" si="59"/>
        <v>44000</v>
      </c>
    </row>
    <row r="949" spans="1:7" x14ac:dyDescent="0.25">
      <c r="A949" t="s">
        <v>948</v>
      </c>
      <c r="B949" t="s">
        <v>1004</v>
      </c>
      <c r="C949" t="str">
        <f t="shared" si="56"/>
        <v>Electronics (Computing Devices)</v>
      </c>
      <c r="D949" t="str">
        <f>IF(B371="Smartphone",
"Apple",
IF(B371="Smartwatch",
"Apple",
IF(B371="Laptop",
"Lenovo",
IF(B371="Desktop PC",
"Apple",
IF(B371="Tablet",
"Apple",
IF(B371="Headphone",
"Sony",
IF(B371="Camera",
"Sony",
IF(B371="Printer",
"HP",
IF(B371="External Hard Disk",
"Seagate",
"Other")))))))))</f>
        <v>Seagate</v>
      </c>
      <c r="E949" t="str">
        <f t="shared" si="57"/>
        <v>Ingram Micron India</v>
      </c>
      <c r="F949">
        <f t="shared" si="58"/>
        <v>35000</v>
      </c>
      <c r="G949">
        <f t="shared" si="59"/>
        <v>38500</v>
      </c>
    </row>
    <row r="950" spans="1:7" x14ac:dyDescent="0.25">
      <c r="A950" t="s">
        <v>949</v>
      </c>
      <c r="B950" t="s">
        <v>1001</v>
      </c>
      <c r="C950" t="str">
        <f t="shared" si="56"/>
        <v>Mobile and Wearables</v>
      </c>
      <c r="D950" t="str">
        <f>IF(B372="Smartphone",
"Apple",
IF(B372="Smartwatch",
"Apple",
IF(B372="Laptop",
"Lenovo",
IF(B372="Desktop PC",
"Apple",
IF(B372="Tablet",
"Apple",
IF(B372="Headphone",
"Sony",
IF(B372="Camera",
"Sony",
IF(B372="Printer",
"HP",
IF(B372="External Hard Disk",
"Seagate",
"Other")))))))))</f>
        <v>Lenovo</v>
      </c>
      <c r="E950" t="str">
        <f t="shared" si="57"/>
        <v>Savex Technologies</v>
      </c>
      <c r="F950">
        <f t="shared" si="58"/>
        <v>45000</v>
      </c>
      <c r="G950">
        <f t="shared" si="59"/>
        <v>49500.000000000007</v>
      </c>
    </row>
    <row r="951" spans="1:7" x14ac:dyDescent="0.25">
      <c r="A951" t="s">
        <v>950</v>
      </c>
      <c r="B951" t="s">
        <v>1002</v>
      </c>
      <c r="C951" t="str">
        <f t="shared" si="56"/>
        <v>Electronics (Computing Devices)</v>
      </c>
      <c r="D951" t="str">
        <f>IF(B373="Smartphone",
"Apple",
IF(B373="Smartwatch",
"Apple",
IF(B373="Laptop",
"Lenovo",
IF(B373="Desktop PC",
"Apple",
IF(B373="Tablet",
"Apple",
IF(B373="Headphone",
"Sony",
IF(B373="Camera",
"Sony",
IF(B373="Printer",
"HP",
IF(B373="External Hard Disk",
"Seagate",
"Other")))))))))</f>
        <v>Sony</v>
      </c>
      <c r="E951" t="str">
        <f t="shared" si="57"/>
        <v>Supertron Electronics</v>
      </c>
      <c r="F951">
        <f t="shared" si="58"/>
        <v>60000</v>
      </c>
      <c r="G951">
        <f t="shared" si="59"/>
        <v>66000</v>
      </c>
    </row>
    <row r="952" spans="1:7" x14ac:dyDescent="0.25">
      <c r="A952" t="s">
        <v>951</v>
      </c>
      <c r="B952" t="s">
        <v>1004</v>
      </c>
      <c r="C952" t="str">
        <f t="shared" si="56"/>
        <v>Electronics (Computing Devices)</v>
      </c>
      <c r="D952" t="str">
        <f>IF(B374="Smartphone",
"Apple",
IF(B374="Smartwatch",
"Apple",
IF(B374="Laptop",
"Lenovo",
IF(B374="Desktop PC",
"Apple",
IF(B374="Tablet",
"Apple",
IF(B374="Headphone",
"Sony",
IF(B374="Camera",
"Sony",
IF(B374="Printer",
"HP",
IF(B374="External Hard Disk",
"Seagate",
"Other")))))))))</f>
        <v>Sony</v>
      </c>
      <c r="E952" t="str">
        <f t="shared" si="57"/>
        <v>Supertron Electronics</v>
      </c>
      <c r="F952">
        <f t="shared" si="58"/>
        <v>60000</v>
      </c>
      <c r="G952">
        <f t="shared" si="59"/>
        <v>66000</v>
      </c>
    </row>
    <row r="953" spans="1:7" x14ac:dyDescent="0.25">
      <c r="A953" t="s">
        <v>952</v>
      </c>
      <c r="B953" t="s">
        <v>1013</v>
      </c>
      <c r="C953" t="str">
        <f t="shared" si="56"/>
        <v>Storage Devices</v>
      </c>
      <c r="D953" t="str">
        <f>IF(B375="Smartphone",
"Apple",
IF(B375="Smartwatch",
"Apple",
IF(B375="Laptop",
"Lenovo",
IF(B375="Desktop PC",
"Apple",
IF(B375="Tablet",
"Apple",
IF(B375="Headphone",
"Sony",
IF(B375="Camera",
"Sony",
IF(B375="Printer",
"HP",
IF(B375="External Hard Disk",
"Seagate",
"Other")))))))))</f>
        <v>Sony</v>
      </c>
      <c r="E953" t="str">
        <f t="shared" si="57"/>
        <v>Supertron Electronics</v>
      </c>
      <c r="F953">
        <f t="shared" si="58"/>
        <v>60000</v>
      </c>
      <c r="G953">
        <f t="shared" si="59"/>
        <v>66000</v>
      </c>
    </row>
    <row r="954" spans="1:7" x14ac:dyDescent="0.25">
      <c r="A954" t="s">
        <v>953</v>
      </c>
      <c r="B954" t="s">
        <v>1001</v>
      </c>
      <c r="C954" t="str">
        <f t="shared" si="56"/>
        <v>Mobile and Wearables</v>
      </c>
      <c r="D954" t="str">
        <f>IF(B376="Smartphone",
"Apple",
IF(B376="Smartwatch",
"Apple",
IF(B376="Laptop",
"Lenovo",
IF(B376="Desktop PC",
"Apple",
IF(B376="Tablet",
"Apple",
IF(B376="Headphone",
"Sony",
IF(B376="Camera",
"Sony",
IF(B376="Printer",
"HP",
IF(B376="External Hard Disk",
"Seagate",
"Other")))))))))</f>
        <v>Apple</v>
      </c>
      <c r="E954" t="str">
        <f t="shared" si="57"/>
        <v>Redington India</v>
      </c>
      <c r="F954">
        <f t="shared" si="58"/>
        <v>40000</v>
      </c>
      <c r="G954">
        <f t="shared" si="59"/>
        <v>44000</v>
      </c>
    </row>
    <row r="955" spans="1:7" x14ac:dyDescent="0.25">
      <c r="A955" t="s">
        <v>954</v>
      </c>
      <c r="B955" t="s">
        <v>1003</v>
      </c>
      <c r="C955" t="str">
        <f t="shared" si="56"/>
        <v>Electronics (Computing Devices)</v>
      </c>
      <c r="D955" t="str">
        <f>IF(B377="Smartphone",
"Apple",
IF(B377="Smartwatch",
"Apple",
IF(B377="Laptop",
"Lenovo",
IF(B377="Desktop PC",
"Apple",
IF(B377="Tablet",
"Apple",
IF(B377="Headphone",
"Sony",
IF(B377="Camera",
"Sony",
IF(B377="Printer",
"HP",
IF(B377="External Hard Disk",
"Seagate",
"Other")))))))))</f>
        <v>Lenovo</v>
      </c>
      <c r="E955" t="str">
        <f t="shared" si="57"/>
        <v>Savex Technologies</v>
      </c>
      <c r="F955">
        <f t="shared" si="58"/>
        <v>45000</v>
      </c>
      <c r="G955">
        <f t="shared" si="59"/>
        <v>49500.000000000007</v>
      </c>
    </row>
    <row r="956" spans="1:7" x14ac:dyDescent="0.25">
      <c r="A956" t="s">
        <v>955</v>
      </c>
      <c r="B956" t="s">
        <v>1013</v>
      </c>
      <c r="C956" t="str">
        <f t="shared" si="56"/>
        <v>Storage Devices</v>
      </c>
      <c r="D956" t="str">
        <f>IF(B378="Smartphone",
"Apple",
IF(B378="Smartwatch",
"Apple",
IF(B378="Laptop",
"Lenovo",
IF(B378="Desktop PC",
"Apple",
IF(B378="Tablet",
"Apple",
IF(B378="Headphone",
"Sony",
IF(B378="Camera",
"Sony",
IF(B378="Printer",
"HP",
IF(B378="External Hard Disk",
"Seagate",
"Other")))))))))</f>
        <v>Seagate</v>
      </c>
      <c r="E956" t="str">
        <f t="shared" si="57"/>
        <v>Ingram Micron India</v>
      </c>
      <c r="F956">
        <f t="shared" si="58"/>
        <v>35000</v>
      </c>
      <c r="G956">
        <f t="shared" si="59"/>
        <v>38500</v>
      </c>
    </row>
    <row r="957" spans="1:7" x14ac:dyDescent="0.25">
      <c r="A957" t="s">
        <v>956</v>
      </c>
      <c r="B957" t="s">
        <v>1004</v>
      </c>
      <c r="C957" t="str">
        <f t="shared" si="56"/>
        <v>Electronics (Computing Devices)</v>
      </c>
      <c r="D957" t="str">
        <f>IF(B379="Smartphone",
"Apple",
IF(B379="Smartwatch",
"Apple",
IF(B379="Laptop",
"Lenovo",
IF(B379="Desktop PC",
"Apple",
IF(B379="Tablet",
"Apple",
IF(B379="Headphone",
"Sony",
IF(B379="Camera",
"Sony",
IF(B379="Printer",
"HP",
IF(B379="External Hard Disk",
"Seagate",
"Other")))))))))</f>
        <v>Sony</v>
      </c>
      <c r="E957" t="str">
        <f t="shared" si="57"/>
        <v>Supertron Electronics</v>
      </c>
      <c r="F957">
        <f t="shared" si="58"/>
        <v>60000</v>
      </c>
      <c r="G957">
        <f t="shared" si="59"/>
        <v>66000</v>
      </c>
    </row>
    <row r="958" spans="1:7" x14ac:dyDescent="0.25">
      <c r="A958" t="s">
        <v>957</v>
      </c>
      <c r="B958" t="s">
        <v>1010</v>
      </c>
      <c r="C958" t="str">
        <f t="shared" si="56"/>
        <v>Office Equipments</v>
      </c>
      <c r="D958" t="str">
        <f>IF(B380="Smartphone",
"Apple",
IF(B380="Smartwatch",
"Apple",
IF(B380="Laptop",
"Lenovo",
IF(B380="Desktop PC",
"Apple",
IF(B380="Tablet",
"Apple",
IF(B380="Headphone",
"Sony",
IF(B380="Camera",
"Sony",
IF(B380="Printer",
"HP",
IF(B380="External Hard Disk",
"Seagate",
"Other")))))))))</f>
        <v>HP</v>
      </c>
      <c r="E958" t="str">
        <f t="shared" si="57"/>
        <v>Savex Technologies</v>
      </c>
      <c r="F958">
        <f t="shared" si="58"/>
        <v>40000</v>
      </c>
      <c r="G958">
        <f t="shared" si="59"/>
        <v>44000</v>
      </c>
    </row>
    <row r="959" spans="1:7" x14ac:dyDescent="0.25">
      <c r="A959" t="s">
        <v>958</v>
      </c>
      <c r="B959" t="s">
        <v>1013</v>
      </c>
      <c r="C959" t="str">
        <f t="shared" si="56"/>
        <v>Storage Devices</v>
      </c>
      <c r="D959" t="str">
        <f>IF(B381="Smartphone",
"Apple",
IF(B381="Smartwatch",
"Apple",
IF(B381="Laptop",
"Lenovo",
IF(B381="Desktop PC",
"Apple",
IF(B381="Tablet",
"Apple",
IF(B381="Headphone",
"Sony",
IF(B381="Camera",
"Sony",
IF(B381="Printer",
"HP",
IF(B381="External Hard Disk",
"Seagate",
"Other")))))))))</f>
        <v>Sony</v>
      </c>
      <c r="E959" t="str">
        <f t="shared" si="57"/>
        <v>Supertron Electronics</v>
      </c>
      <c r="F959">
        <f t="shared" si="58"/>
        <v>60000</v>
      </c>
      <c r="G959">
        <f t="shared" si="59"/>
        <v>66000</v>
      </c>
    </row>
    <row r="960" spans="1:7" x14ac:dyDescent="0.25">
      <c r="A960" t="s">
        <v>959</v>
      </c>
      <c r="B960" t="s">
        <v>1005</v>
      </c>
      <c r="C960" t="str">
        <f t="shared" si="56"/>
        <v>Electronics (Computing Devices)</v>
      </c>
      <c r="D960" t="str">
        <f>IF(B382="Smartphone",
"Apple",
IF(B382="Smartwatch",
"Apple",
IF(B382="Laptop",
"Lenovo",
IF(B382="Desktop PC",
"Apple",
IF(B382="Tablet",
"Apple",
IF(B382="Headphone",
"Sony",
IF(B382="Camera",
"Sony",
IF(B382="Printer",
"HP",
IF(B382="External Hard Disk",
"Seagate",
"Other")))))))))</f>
        <v>Apple</v>
      </c>
      <c r="E960" t="str">
        <f t="shared" si="57"/>
        <v>Redington India</v>
      </c>
      <c r="F960">
        <f t="shared" si="58"/>
        <v>40000</v>
      </c>
      <c r="G960">
        <f t="shared" si="59"/>
        <v>44000</v>
      </c>
    </row>
    <row r="961" spans="1:7" x14ac:dyDescent="0.25">
      <c r="A961" t="s">
        <v>960</v>
      </c>
      <c r="B961" t="s">
        <v>1003</v>
      </c>
      <c r="C961" t="str">
        <f t="shared" si="56"/>
        <v>Electronics (Computing Devices)</v>
      </c>
      <c r="D961" t="str">
        <f>IF(B383="Smartphone",
"Apple",
IF(B383="Smartwatch",
"Apple",
IF(B383="Laptop",
"Lenovo",
IF(B383="Desktop PC",
"Apple",
IF(B383="Tablet",
"Apple",
IF(B383="Headphone",
"Sony",
IF(B383="Camera",
"Sony",
IF(B383="Printer",
"HP",
IF(B383="External Hard Disk",
"Seagate",
"Other")))))))))</f>
        <v>Apple</v>
      </c>
      <c r="E961" t="str">
        <f t="shared" si="57"/>
        <v>Redington India</v>
      </c>
      <c r="F961">
        <f t="shared" si="58"/>
        <v>40000</v>
      </c>
      <c r="G961">
        <f t="shared" si="59"/>
        <v>44000</v>
      </c>
    </row>
    <row r="962" spans="1:7" x14ac:dyDescent="0.25">
      <c r="A962" t="s">
        <v>961</v>
      </c>
      <c r="B962" t="s">
        <v>1003</v>
      </c>
      <c r="C962" t="str">
        <f t="shared" si="56"/>
        <v>Electronics (Computing Devices)</v>
      </c>
      <c r="D962" t="str">
        <f>IF(B384="Smartphone",
"Apple",
IF(B384="Smartwatch",
"Apple",
IF(B384="Laptop",
"Lenovo",
IF(B384="Desktop PC",
"Apple",
IF(B384="Tablet",
"Apple",
IF(B384="Headphone",
"Sony",
IF(B384="Camera",
"Sony",
IF(B384="Printer",
"HP",
IF(B384="External Hard Disk",
"Seagate",
"Other")))))))))</f>
        <v>Apple</v>
      </c>
      <c r="E962" t="str">
        <f t="shared" si="57"/>
        <v>Redington India</v>
      </c>
      <c r="F962">
        <f t="shared" si="58"/>
        <v>40000</v>
      </c>
      <c r="G962">
        <f t="shared" si="59"/>
        <v>44000</v>
      </c>
    </row>
    <row r="963" spans="1:7" x14ac:dyDescent="0.25">
      <c r="A963" t="s">
        <v>962</v>
      </c>
      <c r="B963" t="s">
        <v>1002</v>
      </c>
      <c r="C963" t="str">
        <f t="shared" ref="C963:C1001" si="60">IF(OR(B963="Laptop",B963="Desktop PC",B963="Tablet",B963="E-Reader"),
"Electronics (Computing Devices)",
IF(OR(B963="Smartphone",B963="Smartwatch"),
"Mobile and Wearables",
IF(B963="Headphone",
"Audio Devices",
IF(OR(B963="Printer",B963="Camera"),
"Office Equipments",
IF(B963="External Hard Disk",
"Storage Devices",
"Other")))))</f>
        <v>Electronics (Computing Devices)</v>
      </c>
      <c r="D963" t="str">
        <f>IF(B385="Smartphone",
"Apple",
IF(B385="Smartwatch",
"Apple",
IF(B385="Laptop",
"Lenovo",
IF(B385="Desktop PC",
"Apple",
IF(B385="Tablet",
"Apple",
IF(B385="Headphone",
"Sony",
IF(B385="Camera",
"Sony",
IF(B385="Printer",
"HP",
IF(B385="External Hard Disk",
"Seagate",
"Other")))))))))</f>
        <v>Lenovo</v>
      </c>
      <c r="E963" t="str">
        <f t="shared" ref="E963:E1001" si="61">IF(D963="Apple",
"Redington India",
IF(D963="Samsung",
"Rashi Peripherals",
IF(D963="Sony",
"Supertron Electronics",
IF(OR(D963="Lenovo",D963="HP",D963="Dell"),
"Savex Technologies",
IF(C963="Printer",
"Rashi Peripherals",
IF(C963="Camera",
"Redington India",
IF(C963="External Hard Disk",
"Supertron Electronics",
"Ingram Micron India")))))))</f>
        <v>Savex Technologies</v>
      </c>
      <c r="F963">
        <f t="shared" ref="F963:F1001" si="62">IF(D963="Apple",
IF(C963="Smartphone",95000,
IF(C963="Tablet",75000,
IF(C963="Laptop",150000,
IF(C963="Smartwatch",90000,40000)))),
IF(D963="Samsung",
IF(C963="Smartphone",55000,
IF(C963="Tablet",40000,
IF(C963="Smartwatch",25000,30000))),
IF(D963="Lenovo",
IF(C963="Laptop",85000,
IF(C963="Desktop PC",70000,45000)),
IF(D963="HP",
IF(C963="Printer",30000,
IF(C963="Laptop",80000,40000)),
IF(D963="Sony",
IF(C963="Headphone",15000,
IF(C963="Camera",120000,60000)),
IF(C963="External Hard Disk",
IF(D963="Seagate",7000,
IF(D963="Western Digital",8000,7500)),
35000))))))</f>
        <v>45000</v>
      </c>
      <c r="G963">
        <f t="shared" ref="G963:G1001" si="63">IF(C963="Smartphone",F963*1.1,
IF(C963="Laptop",F963*1.08,
IF(C963="Tablet",F963*1.12,
IF(C963="Smartwatch",F963*1.15,
IF(C963="Desktop PC",F963*1.07,
IF(C963="Printer",F963*1.18,
IF(C963="Camera",F963*1.12,
IF(C963="Headphone",F963*1.25,
IF(C963="External Hard Disk",F963*1.2,
F963*1.1)))))))))</f>
        <v>49500.000000000007</v>
      </c>
    </row>
    <row r="964" spans="1:7" x14ac:dyDescent="0.25">
      <c r="A964" t="s">
        <v>963</v>
      </c>
      <c r="B964" t="s">
        <v>1009</v>
      </c>
      <c r="C964" t="str">
        <f t="shared" si="60"/>
        <v>Office Equipments</v>
      </c>
      <c r="D964" t="str">
        <f>IF(B386="Smartphone",
"Apple",
IF(B386="Smartwatch",
"Apple",
IF(B386="Laptop",
"Lenovo",
IF(B386="Desktop PC",
"Apple",
IF(B386="Tablet",
"Apple",
IF(B386="Headphone",
"Sony",
IF(B386="Camera",
"Sony",
IF(B386="Printer",
"HP",
IF(B386="External Hard Disk",
"Seagate",
"Other")))))))))</f>
        <v>Apple</v>
      </c>
      <c r="E964" t="str">
        <f t="shared" si="61"/>
        <v>Redington India</v>
      </c>
      <c r="F964">
        <f t="shared" si="62"/>
        <v>40000</v>
      </c>
      <c r="G964">
        <f t="shared" si="63"/>
        <v>44000</v>
      </c>
    </row>
    <row r="965" spans="1:7" x14ac:dyDescent="0.25">
      <c r="A965" t="s">
        <v>964</v>
      </c>
      <c r="B965" t="s">
        <v>1004</v>
      </c>
      <c r="C965" t="str">
        <f t="shared" si="60"/>
        <v>Electronics (Computing Devices)</v>
      </c>
      <c r="D965" t="str">
        <f>IF(B387="Smartphone",
"Apple",
IF(B387="Smartwatch",
"Apple",
IF(B387="Laptop",
"Lenovo",
IF(B387="Desktop PC",
"Apple",
IF(B387="Tablet",
"Apple",
IF(B387="Headphone",
"Sony",
IF(B387="Camera",
"Sony",
IF(B387="Printer",
"HP",
IF(B387="External Hard Disk",
"Seagate",
"Other")))))))))</f>
        <v>Apple</v>
      </c>
      <c r="E965" t="str">
        <f t="shared" si="61"/>
        <v>Redington India</v>
      </c>
      <c r="F965">
        <f t="shared" si="62"/>
        <v>40000</v>
      </c>
      <c r="G965">
        <f t="shared" si="63"/>
        <v>44000</v>
      </c>
    </row>
    <row r="966" spans="1:7" x14ac:dyDescent="0.25">
      <c r="A966" t="s">
        <v>965</v>
      </c>
      <c r="B966" t="s">
        <v>1010</v>
      </c>
      <c r="C966" t="str">
        <f t="shared" si="60"/>
        <v>Office Equipments</v>
      </c>
      <c r="D966" t="str">
        <f>IF(B388="Smartphone",
"Apple",
IF(B388="Smartwatch",
"Apple",
IF(B388="Laptop",
"Lenovo",
IF(B388="Desktop PC",
"Apple",
IF(B388="Tablet",
"Apple",
IF(B388="Headphone",
"Sony",
IF(B388="Camera",
"Sony",
IF(B388="Printer",
"HP",
IF(B388="External Hard Disk",
"Seagate",
"Other")))))))))</f>
        <v>HP</v>
      </c>
      <c r="E966" t="str">
        <f t="shared" si="61"/>
        <v>Savex Technologies</v>
      </c>
      <c r="F966">
        <f t="shared" si="62"/>
        <v>40000</v>
      </c>
      <c r="G966">
        <f t="shared" si="63"/>
        <v>44000</v>
      </c>
    </row>
    <row r="967" spans="1:7" x14ac:dyDescent="0.25">
      <c r="A967" t="s">
        <v>966</v>
      </c>
      <c r="B967" t="s">
        <v>1001</v>
      </c>
      <c r="C967" t="str">
        <f t="shared" si="60"/>
        <v>Mobile and Wearables</v>
      </c>
      <c r="D967" t="str">
        <f>IF(B389="Smartphone",
"Apple",
IF(B389="Smartwatch",
"Apple",
IF(B389="Laptop",
"Lenovo",
IF(B389="Desktop PC",
"Apple",
IF(B389="Tablet",
"Apple",
IF(B389="Headphone",
"Sony",
IF(B389="Camera",
"Sony",
IF(B389="Printer",
"HP",
IF(B389="External Hard Disk",
"Seagate",
"Other")))))))))</f>
        <v>Sony</v>
      </c>
      <c r="E967" t="str">
        <f t="shared" si="61"/>
        <v>Supertron Electronics</v>
      </c>
      <c r="F967">
        <f t="shared" si="62"/>
        <v>60000</v>
      </c>
      <c r="G967">
        <f t="shared" si="63"/>
        <v>66000</v>
      </c>
    </row>
    <row r="968" spans="1:7" x14ac:dyDescent="0.25">
      <c r="A968" t="s">
        <v>967</v>
      </c>
      <c r="B968" t="s">
        <v>1007</v>
      </c>
      <c r="C968" t="str">
        <f t="shared" si="60"/>
        <v>Mobile and Wearables</v>
      </c>
      <c r="D968" t="str">
        <f>IF(B390="Smartphone",
"Apple",
IF(B390="Smartwatch",
"Apple",
IF(B390="Laptop",
"Lenovo",
IF(B390="Desktop PC",
"Apple",
IF(B390="Tablet",
"Apple",
IF(B390="Headphone",
"Sony",
IF(B390="Camera",
"Sony",
IF(B390="Printer",
"HP",
IF(B390="External Hard Disk",
"Seagate",
"Other")))))))))</f>
        <v>Apple</v>
      </c>
      <c r="E968" t="str">
        <f t="shared" si="61"/>
        <v>Redington India</v>
      </c>
      <c r="F968">
        <f t="shared" si="62"/>
        <v>40000</v>
      </c>
      <c r="G968">
        <f t="shared" si="63"/>
        <v>44000</v>
      </c>
    </row>
    <row r="969" spans="1:7" x14ac:dyDescent="0.25">
      <c r="A969" t="s">
        <v>968</v>
      </c>
      <c r="B969" t="s">
        <v>1012</v>
      </c>
      <c r="C969" t="str">
        <f t="shared" si="60"/>
        <v>Audio Devices</v>
      </c>
      <c r="D969" t="str">
        <f>IF(B391="Smartphone",
"Apple",
IF(B391="Smartwatch",
"Apple",
IF(B391="Laptop",
"Lenovo",
IF(B391="Desktop PC",
"Apple",
IF(B391="Tablet",
"Apple",
IF(B391="Headphone",
"Sony",
IF(B391="Camera",
"Sony",
IF(B391="Printer",
"HP",
IF(B391="External Hard Disk",
"Seagate",
"Other")))))))))</f>
        <v>Sony</v>
      </c>
      <c r="E969" t="str">
        <f t="shared" si="61"/>
        <v>Supertron Electronics</v>
      </c>
      <c r="F969">
        <f t="shared" si="62"/>
        <v>60000</v>
      </c>
      <c r="G969">
        <f t="shared" si="63"/>
        <v>66000</v>
      </c>
    </row>
    <row r="970" spans="1:7" x14ac:dyDescent="0.25">
      <c r="A970" t="s">
        <v>969</v>
      </c>
      <c r="B970" t="s">
        <v>1005</v>
      </c>
      <c r="C970" t="str">
        <f t="shared" si="60"/>
        <v>Electronics (Computing Devices)</v>
      </c>
      <c r="D970" t="str">
        <f>IF(B392="Smartphone",
"Apple",
IF(B392="Smartwatch",
"Apple",
IF(B392="Laptop",
"Lenovo",
IF(B392="Desktop PC",
"Apple",
IF(B392="Tablet",
"Apple",
IF(B392="Headphone",
"Sony",
IF(B392="Camera",
"Sony",
IF(B392="Printer",
"HP",
IF(B392="External Hard Disk",
"Seagate",
"Other")))))))))</f>
        <v>Other</v>
      </c>
      <c r="E970" t="str">
        <f t="shared" si="61"/>
        <v>Ingram Micron India</v>
      </c>
      <c r="F970">
        <f t="shared" si="62"/>
        <v>35000</v>
      </c>
      <c r="G970">
        <f t="shared" si="63"/>
        <v>38500</v>
      </c>
    </row>
    <row r="971" spans="1:7" x14ac:dyDescent="0.25">
      <c r="A971" t="s">
        <v>970</v>
      </c>
      <c r="B971" t="s">
        <v>1007</v>
      </c>
      <c r="C971" t="str">
        <f t="shared" si="60"/>
        <v>Mobile and Wearables</v>
      </c>
      <c r="D971" t="str">
        <f>IF(B393="Smartphone",
"Apple",
IF(B393="Smartwatch",
"Apple",
IF(B393="Laptop",
"Lenovo",
IF(B393="Desktop PC",
"Apple",
IF(B393="Tablet",
"Apple",
IF(B393="Headphone",
"Sony",
IF(B393="Camera",
"Sony",
IF(B393="Printer",
"HP",
IF(B393="External Hard Disk",
"Seagate",
"Other")))))))))</f>
        <v>Apple</v>
      </c>
      <c r="E971" t="str">
        <f t="shared" si="61"/>
        <v>Redington India</v>
      </c>
      <c r="F971">
        <f t="shared" si="62"/>
        <v>40000</v>
      </c>
      <c r="G971">
        <f t="shared" si="63"/>
        <v>44000</v>
      </c>
    </row>
    <row r="972" spans="1:7" x14ac:dyDescent="0.25">
      <c r="A972" t="s">
        <v>971</v>
      </c>
      <c r="B972" t="s">
        <v>1001</v>
      </c>
      <c r="C972" t="str">
        <f t="shared" si="60"/>
        <v>Mobile and Wearables</v>
      </c>
      <c r="D972" t="str">
        <f>IF(B394="Smartphone",
"Apple",
IF(B394="Smartwatch",
"Apple",
IF(B394="Laptop",
"Lenovo",
IF(B394="Desktop PC",
"Apple",
IF(B394="Tablet",
"Apple",
IF(B394="Headphone",
"Sony",
IF(B394="Camera",
"Sony",
IF(B394="Printer",
"HP",
IF(B394="External Hard Disk",
"Seagate",
"Other")))))))))</f>
        <v>Apple</v>
      </c>
      <c r="E972" t="str">
        <f t="shared" si="61"/>
        <v>Redington India</v>
      </c>
      <c r="F972">
        <f t="shared" si="62"/>
        <v>40000</v>
      </c>
      <c r="G972">
        <f t="shared" si="63"/>
        <v>44000</v>
      </c>
    </row>
    <row r="973" spans="1:7" x14ac:dyDescent="0.25">
      <c r="A973" t="s">
        <v>972</v>
      </c>
      <c r="B973" t="s">
        <v>1003</v>
      </c>
      <c r="C973" t="str">
        <f t="shared" si="60"/>
        <v>Electronics (Computing Devices)</v>
      </c>
      <c r="D973" t="str">
        <f>IF(B395="Smartphone",
"Apple",
IF(B395="Smartwatch",
"Apple",
IF(B395="Laptop",
"Lenovo",
IF(B395="Desktop PC",
"Apple",
IF(B395="Tablet",
"Apple",
IF(B395="Headphone",
"Sony",
IF(B395="Camera",
"Sony",
IF(B395="Printer",
"HP",
IF(B395="External Hard Disk",
"Seagate",
"Other")))))))))</f>
        <v>Apple</v>
      </c>
      <c r="E973" t="str">
        <f t="shared" si="61"/>
        <v>Redington India</v>
      </c>
      <c r="F973">
        <f t="shared" si="62"/>
        <v>40000</v>
      </c>
      <c r="G973">
        <f t="shared" si="63"/>
        <v>44000</v>
      </c>
    </row>
    <row r="974" spans="1:7" x14ac:dyDescent="0.25">
      <c r="A974" t="s">
        <v>973</v>
      </c>
      <c r="B974" t="s">
        <v>1009</v>
      </c>
      <c r="C974" t="str">
        <f t="shared" si="60"/>
        <v>Office Equipments</v>
      </c>
      <c r="D974" t="str">
        <f>IF(B396="Smartphone",
"Apple",
IF(B396="Smartwatch",
"Apple",
IF(B396="Laptop",
"Lenovo",
IF(B396="Desktop PC",
"Apple",
IF(B396="Tablet",
"Apple",
IF(B396="Headphone",
"Sony",
IF(B396="Camera",
"Sony",
IF(B396="Printer",
"HP",
IF(B396="External Hard Disk",
"Seagate",
"Other")))))))))</f>
        <v>Sony</v>
      </c>
      <c r="E974" t="str">
        <f t="shared" si="61"/>
        <v>Supertron Electronics</v>
      </c>
      <c r="F974">
        <f t="shared" si="62"/>
        <v>60000</v>
      </c>
      <c r="G974">
        <f t="shared" si="63"/>
        <v>66000</v>
      </c>
    </row>
    <row r="975" spans="1:7" x14ac:dyDescent="0.25">
      <c r="A975" t="s">
        <v>974</v>
      </c>
      <c r="B975" t="s">
        <v>1001</v>
      </c>
      <c r="C975" t="str">
        <f t="shared" si="60"/>
        <v>Mobile and Wearables</v>
      </c>
      <c r="D975" t="str">
        <f>IF(B397="Smartphone",
"Apple",
IF(B397="Smartwatch",
"Apple",
IF(B397="Laptop",
"Lenovo",
IF(B397="Desktop PC",
"Apple",
IF(B397="Tablet",
"Apple",
IF(B397="Headphone",
"Sony",
IF(B397="Camera",
"Sony",
IF(B397="Printer",
"HP",
IF(B397="External Hard Disk",
"Seagate",
"Other")))))))))</f>
        <v>Sony</v>
      </c>
      <c r="E975" t="str">
        <f t="shared" si="61"/>
        <v>Supertron Electronics</v>
      </c>
      <c r="F975">
        <f t="shared" si="62"/>
        <v>60000</v>
      </c>
      <c r="G975">
        <f t="shared" si="63"/>
        <v>66000</v>
      </c>
    </row>
    <row r="976" spans="1:7" x14ac:dyDescent="0.25">
      <c r="A976" t="s">
        <v>975</v>
      </c>
      <c r="B976" t="s">
        <v>1004</v>
      </c>
      <c r="C976" t="str">
        <f t="shared" si="60"/>
        <v>Electronics (Computing Devices)</v>
      </c>
      <c r="D976" t="str">
        <f>IF(B398="Smartphone",
"Apple",
IF(B398="Smartwatch",
"Apple",
IF(B398="Laptop",
"Lenovo",
IF(B398="Desktop PC",
"Apple",
IF(B398="Tablet",
"Apple",
IF(B398="Headphone",
"Sony",
IF(B398="Camera",
"Sony",
IF(B398="Printer",
"HP",
IF(B398="External Hard Disk",
"Seagate",
"Other")))))))))</f>
        <v>Seagate</v>
      </c>
      <c r="E976" t="str">
        <f t="shared" si="61"/>
        <v>Ingram Micron India</v>
      </c>
      <c r="F976">
        <f t="shared" si="62"/>
        <v>35000</v>
      </c>
      <c r="G976">
        <f t="shared" si="63"/>
        <v>38500</v>
      </c>
    </row>
    <row r="977" spans="1:7" x14ac:dyDescent="0.25">
      <c r="A977" t="s">
        <v>976</v>
      </c>
      <c r="B977" t="s">
        <v>1010</v>
      </c>
      <c r="C977" t="str">
        <f t="shared" si="60"/>
        <v>Office Equipments</v>
      </c>
      <c r="D977" t="str">
        <f>IF(B399="Smartphone",
"Apple",
IF(B399="Smartwatch",
"Apple",
IF(B399="Laptop",
"Lenovo",
IF(B399="Desktop PC",
"Apple",
IF(B399="Tablet",
"Apple",
IF(B399="Headphone",
"Sony",
IF(B399="Camera",
"Sony",
IF(B399="Printer",
"HP",
IF(B399="External Hard Disk",
"Seagate",
"Other")))))))))</f>
        <v>Apple</v>
      </c>
      <c r="E977" t="str">
        <f t="shared" si="61"/>
        <v>Redington India</v>
      </c>
      <c r="F977">
        <f t="shared" si="62"/>
        <v>40000</v>
      </c>
      <c r="G977">
        <f t="shared" si="63"/>
        <v>44000</v>
      </c>
    </row>
    <row r="978" spans="1:7" x14ac:dyDescent="0.25">
      <c r="A978" t="s">
        <v>977</v>
      </c>
      <c r="B978" t="s">
        <v>1001</v>
      </c>
      <c r="C978" t="str">
        <f t="shared" si="60"/>
        <v>Mobile and Wearables</v>
      </c>
      <c r="D978" t="str">
        <f>IF(B400="Smartphone",
"Apple",
IF(B400="Smartwatch",
"Apple",
IF(B400="Laptop",
"Lenovo",
IF(B400="Desktop PC",
"Apple",
IF(B400="Tablet",
"Apple",
IF(B400="Headphone",
"Sony",
IF(B400="Camera",
"Sony",
IF(B400="Printer",
"HP",
IF(B400="External Hard Disk",
"Seagate",
"Other")))))))))</f>
        <v>Other</v>
      </c>
      <c r="E978" t="str">
        <f t="shared" si="61"/>
        <v>Ingram Micron India</v>
      </c>
      <c r="F978">
        <f t="shared" si="62"/>
        <v>35000</v>
      </c>
      <c r="G978">
        <f t="shared" si="63"/>
        <v>38500</v>
      </c>
    </row>
    <row r="979" spans="1:7" x14ac:dyDescent="0.25">
      <c r="A979" t="s">
        <v>978</v>
      </c>
      <c r="B979" t="s">
        <v>1013</v>
      </c>
      <c r="C979" t="str">
        <f t="shared" si="60"/>
        <v>Storage Devices</v>
      </c>
      <c r="D979" t="str">
        <f>IF(B401="Smartphone",
"Apple",
IF(B401="Smartwatch",
"Apple",
IF(B401="Laptop",
"Lenovo",
IF(B401="Desktop PC",
"Apple",
IF(B401="Tablet",
"Apple",
IF(B401="Headphone",
"Sony",
IF(B401="Camera",
"Sony",
IF(B401="Printer",
"HP",
IF(B401="External Hard Disk",
"Seagate",
"Other")))))))))</f>
        <v>Apple</v>
      </c>
      <c r="E979" t="str">
        <f t="shared" si="61"/>
        <v>Redington India</v>
      </c>
      <c r="F979">
        <f t="shared" si="62"/>
        <v>40000</v>
      </c>
      <c r="G979">
        <f t="shared" si="63"/>
        <v>44000</v>
      </c>
    </row>
    <row r="980" spans="1:7" x14ac:dyDescent="0.25">
      <c r="A980" t="s">
        <v>979</v>
      </c>
      <c r="B980" t="s">
        <v>1010</v>
      </c>
      <c r="C980" t="str">
        <f t="shared" si="60"/>
        <v>Office Equipments</v>
      </c>
      <c r="D980" t="str">
        <f>IF(B402="Smartphone",
"Apple",
IF(B402="Smartwatch",
"Apple",
IF(B402="Laptop",
"Lenovo",
IF(B402="Desktop PC",
"Apple",
IF(B402="Tablet",
"Apple",
IF(B402="Headphone",
"Sony",
IF(B402="Camera",
"Sony",
IF(B402="Printer",
"HP",
IF(B402="External Hard Disk",
"Seagate",
"Other")))))))))</f>
        <v>Seagate</v>
      </c>
      <c r="E980" t="str">
        <f t="shared" si="61"/>
        <v>Ingram Micron India</v>
      </c>
      <c r="F980">
        <f t="shared" si="62"/>
        <v>35000</v>
      </c>
      <c r="G980">
        <f t="shared" si="63"/>
        <v>38500</v>
      </c>
    </row>
    <row r="981" spans="1:7" x14ac:dyDescent="0.25">
      <c r="A981" t="s">
        <v>980</v>
      </c>
      <c r="B981" t="s">
        <v>1012</v>
      </c>
      <c r="C981" t="str">
        <f t="shared" si="60"/>
        <v>Audio Devices</v>
      </c>
      <c r="D981" t="str">
        <f>IF(B403="Smartphone",
"Apple",
IF(B403="Smartwatch",
"Apple",
IF(B403="Laptop",
"Lenovo",
IF(B403="Desktop PC",
"Apple",
IF(B403="Tablet",
"Apple",
IF(B403="Headphone",
"Sony",
IF(B403="Camera",
"Sony",
IF(B403="Printer",
"HP",
IF(B403="External Hard Disk",
"Seagate",
"Other")))))))))</f>
        <v>Apple</v>
      </c>
      <c r="E981" t="str">
        <f t="shared" si="61"/>
        <v>Redington India</v>
      </c>
      <c r="F981">
        <f t="shared" si="62"/>
        <v>40000</v>
      </c>
      <c r="G981">
        <f t="shared" si="63"/>
        <v>44000</v>
      </c>
    </row>
    <row r="982" spans="1:7" x14ac:dyDescent="0.25">
      <c r="A982" t="s">
        <v>981</v>
      </c>
      <c r="B982" t="s">
        <v>1010</v>
      </c>
      <c r="C982" t="str">
        <f t="shared" si="60"/>
        <v>Office Equipments</v>
      </c>
      <c r="D982" t="str">
        <f>IF(B404="Smartphone",
"Apple",
IF(B404="Smartwatch",
"Apple",
IF(B404="Laptop",
"Lenovo",
IF(B404="Desktop PC",
"Apple",
IF(B404="Tablet",
"Apple",
IF(B404="Headphone",
"Sony",
IF(B404="Camera",
"Sony",
IF(B404="Printer",
"HP",
IF(B404="External Hard Disk",
"Seagate",
"Other")))))))))</f>
        <v>Other</v>
      </c>
      <c r="E982" t="str">
        <f t="shared" si="61"/>
        <v>Ingram Micron India</v>
      </c>
      <c r="F982">
        <f t="shared" si="62"/>
        <v>35000</v>
      </c>
      <c r="G982">
        <f t="shared" si="63"/>
        <v>38500</v>
      </c>
    </row>
    <row r="983" spans="1:7" x14ac:dyDescent="0.25">
      <c r="A983" t="s">
        <v>982</v>
      </c>
      <c r="B983" t="s">
        <v>1002</v>
      </c>
      <c r="C983" t="str">
        <f t="shared" si="60"/>
        <v>Electronics (Computing Devices)</v>
      </c>
      <c r="D983" t="str">
        <f>IF(B405="Smartphone",
"Apple",
IF(B405="Smartwatch",
"Apple",
IF(B405="Laptop",
"Lenovo",
IF(B405="Desktop PC",
"Apple",
IF(B405="Tablet",
"Apple",
IF(B405="Headphone",
"Sony",
IF(B405="Camera",
"Sony",
IF(B405="Printer",
"HP",
IF(B405="External Hard Disk",
"Seagate",
"Other")))))))))</f>
        <v>HP</v>
      </c>
      <c r="E983" t="str">
        <f t="shared" si="61"/>
        <v>Savex Technologies</v>
      </c>
      <c r="F983">
        <f t="shared" si="62"/>
        <v>40000</v>
      </c>
      <c r="G983">
        <f t="shared" si="63"/>
        <v>44000</v>
      </c>
    </row>
    <row r="984" spans="1:7" x14ac:dyDescent="0.25">
      <c r="A984" t="s">
        <v>983</v>
      </c>
      <c r="B984" t="s">
        <v>1001</v>
      </c>
      <c r="C984" t="str">
        <f t="shared" si="60"/>
        <v>Mobile and Wearables</v>
      </c>
      <c r="D984" t="str">
        <f>IF(B406="Smartphone",
"Apple",
IF(B406="Smartwatch",
"Apple",
IF(B406="Laptop",
"Lenovo",
IF(B406="Desktop PC",
"Apple",
IF(B406="Tablet",
"Apple",
IF(B406="Headphone",
"Sony",
IF(B406="Camera",
"Sony",
IF(B406="Printer",
"HP",
IF(B406="External Hard Disk",
"Seagate",
"Other")))))))))</f>
        <v>Sony</v>
      </c>
      <c r="E984" t="str">
        <f t="shared" si="61"/>
        <v>Supertron Electronics</v>
      </c>
      <c r="F984">
        <f t="shared" si="62"/>
        <v>60000</v>
      </c>
      <c r="G984">
        <f t="shared" si="63"/>
        <v>66000</v>
      </c>
    </row>
    <row r="985" spans="1:7" x14ac:dyDescent="0.25">
      <c r="A985" t="s">
        <v>984</v>
      </c>
      <c r="B985" t="s">
        <v>1001</v>
      </c>
      <c r="C985" t="str">
        <f t="shared" si="60"/>
        <v>Mobile and Wearables</v>
      </c>
      <c r="D985" t="str">
        <f>IF(B407="Smartphone",
"Apple",
IF(B407="Smartwatch",
"Apple",
IF(B407="Laptop",
"Lenovo",
IF(B407="Desktop PC",
"Apple",
IF(B407="Tablet",
"Apple",
IF(B407="Headphone",
"Sony",
IF(B407="Camera",
"Sony",
IF(B407="Printer",
"HP",
IF(B407="External Hard Disk",
"Seagate",
"Other")))))))))</f>
        <v>HP</v>
      </c>
      <c r="E985" t="str">
        <f t="shared" si="61"/>
        <v>Savex Technologies</v>
      </c>
      <c r="F985">
        <f t="shared" si="62"/>
        <v>40000</v>
      </c>
      <c r="G985">
        <f t="shared" si="63"/>
        <v>44000</v>
      </c>
    </row>
    <row r="986" spans="1:7" x14ac:dyDescent="0.25">
      <c r="A986" t="s">
        <v>985</v>
      </c>
      <c r="B986" t="s">
        <v>1012</v>
      </c>
      <c r="C986" t="str">
        <f t="shared" si="60"/>
        <v>Audio Devices</v>
      </c>
      <c r="D986" t="str">
        <f>IF(B408="Smartphone",
"Apple",
IF(B408="Smartwatch",
"Apple",
IF(B408="Laptop",
"Lenovo",
IF(B408="Desktop PC",
"Apple",
IF(B408="Tablet",
"Apple",
IF(B408="Headphone",
"Sony",
IF(B408="Camera",
"Sony",
IF(B408="Printer",
"HP",
IF(B408="External Hard Disk",
"Seagate",
"Other")))))))))</f>
        <v>Seagate</v>
      </c>
      <c r="E986" t="str">
        <f t="shared" si="61"/>
        <v>Ingram Micron India</v>
      </c>
      <c r="F986">
        <f t="shared" si="62"/>
        <v>35000</v>
      </c>
      <c r="G986">
        <f t="shared" si="63"/>
        <v>38500</v>
      </c>
    </row>
    <row r="987" spans="1:7" x14ac:dyDescent="0.25">
      <c r="A987" t="s">
        <v>986</v>
      </c>
      <c r="B987" t="s">
        <v>1012</v>
      </c>
      <c r="C987" t="str">
        <f t="shared" si="60"/>
        <v>Audio Devices</v>
      </c>
      <c r="D987" t="str">
        <f>IF(B409="Smartphone",
"Apple",
IF(B409="Smartwatch",
"Apple",
IF(B409="Laptop",
"Lenovo",
IF(B409="Desktop PC",
"Apple",
IF(B409="Tablet",
"Apple",
IF(B409="Headphone",
"Sony",
IF(B409="Camera",
"Sony",
IF(B409="Printer",
"HP",
IF(B409="External Hard Disk",
"Seagate",
"Other")))))))))</f>
        <v>HP</v>
      </c>
      <c r="E987" t="str">
        <f t="shared" si="61"/>
        <v>Savex Technologies</v>
      </c>
      <c r="F987">
        <f t="shared" si="62"/>
        <v>40000</v>
      </c>
      <c r="G987">
        <f t="shared" si="63"/>
        <v>44000</v>
      </c>
    </row>
    <row r="988" spans="1:7" x14ac:dyDescent="0.25">
      <c r="A988" t="s">
        <v>987</v>
      </c>
      <c r="B988" t="s">
        <v>1009</v>
      </c>
      <c r="C988" t="str">
        <f t="shared" si="60"/>
        <v>Office Equipments</v>
      </c>
      <c r="D988" t="str">
        <f>IF(B410="Smartphone",
"Apple",
IF(B410="Smartwatch",
"Apple",
IF(B410="Laptop",
"Lenovo",
IF(B410="Desktop PC",
"Apple",
IF(B410="Tablet",
"Apple",
IF(B410="Headphone",
"Sony",
IF(B410="Camera",
"Sony",
IF(B410="Printer",
"HP",
IF(B410="External Hard Disk",
"Seagate",
"Other")))))))))</f>
        <v>Apple</v>
      </c>
      <c r="E988" t="str">
        <f t="shared" si="61"/>
        <v>Redington India</v>
      </c>
      <c r="F988">
        <f t="shared" si="62"/>
        <v>40000</v>
      </c>
      <c r="G988">
        <f t="shared" si="63"/>
        <v>44000</v>
      </c>
    </row>
    <row r="989" spans="1:7" x14ac:dyDescent="0.25">
      <c r="A989" t="s">
        <v>988</v>
      </c>
      <c r="B989" t="s">
        <v>1002</v>
      </c>
      <c r="C989" t="str">
        <f t="shared" si="60"/>
        <v>Electronics (Computing Devices)</v>
      </c>
      <c r="D989" t="str">
        <f>IF(B411="Smartphone",
"Apple",
IF(B411="Smartwatch",
"Apple",
IF(B411="Laptop",
"Lenovo",
IF(B411="Desktop PC",
"Apple",
IF(B411="Tablet",
"Apple",
IF(B411="Headphone",
"Sony",
IF(B411="Camera",
"Sony",
IF(B411="Printer",
"HP",
IF(B411="External Hard Disk",
"Seagate",
"Other")))))))))</f>
        <v>Apple</v>
      </c>
      <c r="E989" t="str">
        <f t="shared" si="61"/>
        <v>Redington India</v>
      </c>
      <c r="F989">
        <f t="shared" si="62"/>
        <v>40000</v>
      </c>
      <c r="G989">
        <f t="shared" si="63"/>
        <v>44000</v>
      </c>
    </row>
    <row r="990" spans="1:7" x14ac:dyDescent="0.25">
      <c r="A990" t="s">
        <v>989</v>
      </c>
      <c r="B990" t="s">
        <v>1001</v>
      </c>
      <c r="C990" t="str">
        <f t="shared" si="60"/>
        <v>Mobile and Wearables</v>
      </c>
      <c r="D990" t="str">
        <f>IF(B412="Smartphone",
"Apple",
IF(B412="Smartwatch",
"Apple",
IF(B412="Laptop",
"Lenovo",
IF(B412="Desktop PC",
"Apple",
IF(B412="Tablet",
"Apple",
IF(B412="Headphone",
"Sony",
IF(B412="Camera",
"Sony",
IF(B412="Printer",
"HP",
IF(B412="External Hard Disk",
"Seagate",
"Other")))))))))</f>
        <v>Other</v>
      </c>
      <c r="E990" t="str">
        <f t="shared" si="61"/>
        <v>Ingram Micron India</v>
      </c>
      <c r="F990">
        <f t="shared" si="62"/>
        <v>35000</v>
      </c>
      <c r="G990">
        <f t="shared" si="63"/>
        <v>38500</v>
      </c>
    </row>
    <row r="991" spans="1:7" x14ac:dyDescent="0.25">
      <c r="A991" t="s">
        <v>990</v>
      </c>
      <c r="B991" t="s">
        <v>1001</v>
      </c>
      <c r="C991" t="str">
        <f t="shared" si="60"/>
        <v>Mobile and Wearables</v>
      </c>
      <c r="D991" t="str">
        <f>IF(B413="Smartphone",
"Apple",
IF(B413="Smartwatch",
"Apple",
IF(B413="Laptop",
"Lenovo",
IF(B413="Desktop PC",
"Apple",
IF(B413="Tablet",
"Apple",
IF(B413="Headphone",
"Sony",
IF(B413="Camera",
"Sony",
IF(B413="Printer",
"HP",
IF(B413="External Hard Disk",
"Seagate",
"Other")))))))))</f>
        <v>HP</v>
      </c>
      <c r="E991" t="str">
        <f t="shared" si="61"/>
        <v>Savex Technologies</v>
      </c>
      <c r="F991">
        <f t="shared" si="62"/>
        <v>40000</v>
      </c>
      <c r="G991">
        <f t="shared" si="63"/>
        <v>44000</v>
      </c>
    </row>
    <row r="992" spans="1:7" x14ac:dyDescent="0.25">
      <c r="A992" t="s">
        <v>991</v>
      </c>
      <c r="B992" t="s">
        <v>1010</v>
      </c>
      <c r="C992" t="str">
        <f t="shared" si="60"/>
        <v>Office Equipments</v>
      </c>
      <c r="D992" t="str">
        <f>IF(B414="Smartphone",
"Apple",
IF(B414="Smartwatch",
"Apple",
IF(B414="Laptop",
"Lenovo",
IF(B414="Desktop PC",
"Apple",
IF(B414="Tablet",
"Apple",
IF(B414="Headphone",
"Sony",
IF(B414="Camera",
"Sony",
IF(B414="Printer",
"HP",
IF(B414="External Hard Disk",
"Seagate",
"Other")))))))))</f>
        <v>Apple</v>
      </c>
      <c r="E992" t="str">
        <f t="shared" si="61"/>
        <v>Redington India</v>
      </c>
      <c r="F992">
        <f t="shared" si="62"/>
        <v>40000</v>
      </c>
      <c r="G992">
        <f t="shared" si="63"/>
        <v>44000</v>
      </c>
    </row>
    <row r="993" spans="1:7" x14ac:dyDescent="0.25">
      <c r="A993" t="s">
        <v>992</v>
      </c>
      <c r="B993" t="s">
        <v>1005</v>
      </c>
      <c r="C993" t="str">
        <f t="shared" si="60"/>
        <v>Electronics (Computing Devices)</v>
      </c>
      <c r="D993" t="str">
        <f>IF(B415="Smartphone",
"Apple",
IF(B415="Smartwatch",
"Apple",
IF(B415="Laptop",
"Lenovo",
IF(B415="Desktop PC",
"Apple",
IF(B415="Tablet",
"Apple",
IF(B415="Headphone",
"Sony",
IF(B415="Camera",
"Sony",
IF(B415="Printer",
"HP",
IF(B415="External Hard Disk",
"Seagate",
"Other")))))))))</f>
        <v>Apple</v>
      </c>
      <c r="E993" t="str">
        <f t="shared" si="61"/>
        <v>Redington India</v>
      </c>
      <c r="F993">
        <f t="shared" si="62"/>
        <v>40000</v>
      </c>
      <c r="G993">
        <f t="shared" si="63"/>
        <v>44000</v>
      </c>
    </row>
    <row r="994" spans="1:7" x14ac:dyDescent="0.25">
      <c r="A994" t="s">
        <v>993</v>
      </c>
      <c r="B994" t="s">
        <v>1001</v>
      </c>
      <c r="C994" t="str">
        <f t="shared" si="60"/>
        <v>Mobile and Wearables</v>
      </c>
      <c r="D994" t="str">
        <f>IF(B416="Smartphone",
"Apple",
IF(B416="Smartwatch",
"Apple",
IF(B416="Laptop",
"Lenovo",
IF(B416="Desktop PC",
"Apple",
IF(B416="Tablet",
"Apple",
IF(B416="Headphone",
"Sony",
IF(B416="Camera",
"Sony",
IF(B416="Printer",
"HP",
IF(B416="External Hard Disk",
"Seagate",
"Other")))))))))</f>
        <v>Seagate</v>
      </c>
      <c r="E994" t="str">
        <f t="shared" si="61"/>
        <v>Ingram Micron India</v>
      </c>
      <c r="F994">
        <f t="shared" si="62"/>
        <v>35000</v>
      </c>
      <c r="G994">
        <f t="shared" si="63"/>
        <v>38500</v>
      </c>
    </row>
    <row r="995" spans="1:7" x14ac:dyDescent="0.25">
      <c r="A995" t="s">
        <v>994</v>
      </c>
      <c r="B995" t="s">
        <v>1005</v>
      </c>
      <c r="C995" t="str">
        <f t="shared" si="60"/>
        <v>Electronics (Computing Devices)</v>
      </c>
      <c r="D995" t="str">
        <f>IF(B417="Smartphone",
"Apple",
IF(B417="Smartwatch",
"Apple",
IF(B417="Laptop",
"Lenovo",
IF(B417="Desktop PC",
"Apple",
IF(B417="Tablet",
"Apple",
IF(B417="Headphone",
"Sony",
IF(B417="Camera",
"Sony",
IF(B417="Printer",
"HP",
IF(B417="External Hard Disk",
"Seagate",
"Other")))))))))</f>
        <v>Apple</v>
      </c>
      <c r="E995" t="str">
        <f t="shared" si="61"/>
        <v>Redington India</v>
      </c>
      <c r="F995">
        <f t="shared" si="62"/>
        <v>40000</v>
      </c>
      <c r="G995">
        <f t="shared" si="63"/>
        <v>44000</v>
      </c>
    </row>
    <row r="996" spans="1:7" x14ac:dyDescent="0.25">
      <c r="A996" t="s">
        <v>995</v>
      </c>
      <c r="B996" t="s">
        <v>1004</v>
      </c>
      <c r="C996" t="str">
        <f t="shared" si="60"/>
        <v>Electronics (Computing Devices)</v>
      </c>
      <c r="D996" t="str">
        <f>IF(B418="Smartphone",
"Apple",
IF(B418="Smartwatch",
"Apple",
IF(B418="Laptop",
"Lenovo",
IF(B418="Desktop PC",
"Apple",
IF(B418="Tablet",
"Apple",
IF(B418="Headphone",
"Sony",
IF(B418="Camera",
"Sony",
IF(B418="Printer",
"HP",
IF(B418="External Hard Disk",
"Seagate",
"Other")))))))))</f>
        <v>Lenovo</v>
      </c>
      <c r="E996" t="str">
        <f t="shared" si="61"/>
        <v>Savex Technologies</v>
      </c>
      <c r="F996">
        <f t="shared" si="62"/>
        <v>45000</v>
      </c>
      <c r="G996">
        <f t="shared" si="63"/>
        <v>49500.000000000007</v>
      </c>
    </row>
    <row r="997" spans="1:7" x14ac:dyDescent="0.25">
      <c r="A997" t="s">
        <v>996</v>
      </c>
      <c r="B997" t="s">
        <v>1002</v>
      </c>
      <c r="C997" t="str">
        <f t="shared" si="60"/>
        <v>Electronics (Computing Devices)</v>
      </c>
      <c r="D997" t="str">
        <f>IF(B419="Smartphone",
"Apple",
IF(B419="Smartwatch",
"Apple",
IF(B419="Laptop",
"Lenovo",
IF(B419="Desktop PC",
"Apple",
IF(B419="Tablet",
"Apple",
IF(B419="Headphone",
"Sony",
IF(B419="Camera",
"Sony",
IF(B419="Printer",
"HP",
IF(B419="External Hard Disk",
"Seagate",
"Other")))))))))</f>
        <v>Sony</v>
      </c>
      <c r="E997" t="str">
        <f t="shared" si="61"/>
        <v>Supertron Electronics</v>
      </c>
      <c r="F997">
        <f t="shared" si="62"/>
        <v>60000</v>
      </c>
      <c r="G997">
        <f t="shared" si="63"/>
        <v>66000</v>
      </c>
    </row>
    <row r="998" spans="1:7" x14ac:dyDescent="0.25">
      <c r="A998" t="s">
        <v>997</v>
      </c>
      <c r="B998" t="s">
        <v>1009</v>
      </c>
      <c r="C998" t="str">
        <f t="shared" si="60"/>
        <v>Office Equipments</v>
      </c>
      <c r="D998" t="str">
        <f>IF(B420="Smartphone",
"Apple",
IF(B420="Smartwatch",
"Apple",
IF(B420="Laptop",
"Lenovo",
IF(B420="Desktop PC",
"Apple",
IF(B420="Tablet",
"Apple",
IF(B420="Headphone",
"Sony",
IF(B420="Camera",
"Sony",
IF(B420="Printer",
"HP",
IF(B420="External Hard Disk",
"Seagate",
"Other")))))))))</f>
        <v>Apple</v>
      </c>
      <c r="E998" t="str">
        <f t="shared" si="61"/>
        <v>Redington India</v>
      </c>
      <c r="F998">
        <f t="shared" si="62"/>
        <v>40000</v>
      </c>
      <c r="G998">
        <f t="shared" si="63"/>
        <v>44000</v>
      </c>
    </row>
    <row r="999" spans="1:7" x14ac:dyDescent="0.25">
      <c r="A999" t="s">
        <v>998</v>
      </c>
      <c r="B999" t="s">
        <v>1010</v>
      </c>
      <c r="C999" t="str">
        <f t="shared" si="60"/>
        <v>Office Equipments</v>
      </c>
      <c r="D999" t="str">
        <f>IF(B421="Smartphone",
"Apple",
IF(B421="Smartwatch",
"Apple",
IF(B421="Laptop",
"Lenovo",
IF(B421="Desktop PC",
"Apple",
IF(B421="Tablet",
"Apple",
IF(B421="Headphone",
"Sony",
IF(B421="Camera",
"Sony",
IF(B421="Printer",
"HP",
IF(B421="External Hard Disk",
"Seagate",
"Other")))))))))</f>
        <v>Sony</v>
      </c>
      <c r="E999" t="str">
        <f t="shared" si="61"/>
        <v>Supertron Electronics</v>
      </c>
      <c r="F999">
        <f t="shared" si="62"/>
        <v>60000</v>
      </c>
      <c r="G999">
        <f t="shared" si="63"/>
        <v>66000</v>
      </c>
    </row>
    <row r="1000" spans="1:7" x14ac:dyDescent="0.25">
      <c r="A1000" t="s">
        <v>999</v>
      </c>
      <c r="B1000" t="s">
        <v>1005</v>
      </c>
      <c r="C1000" t="str">
        <f t="shared" si="60"/>
        <v>Electronics (Computing Devices)</v>
      </c>
      <c r="D1000" t="str">
        <f>IF(B422="Smartphone",
"Apple",
IF(B422="Smartwatch",
"Apple",
IF(B422="Laptop",
"Lenovo",
IF(B422="Desktop PC",
"Apple",
IF(B422="Tablet",
"Apple",
IF(B422="Headphone",
"Sony",
IF(B422="Camera",
"Sony",
IF(B422="Printer",
"HP",
IF(B422="External Hard Disk",
"Seagate",
"Other")))))))))</f>
        <v>Sony</v>
      </c>
      <c r="E1000" t="str">
        <f t="shared" si="61"/>
        <v>Supertron Electronics</v>
      </c>
      <c r="F1000">
        <f t="shared" si="62"/>
        <v>60000</v>
      </c>
      <c r="G1000">
        <f t="shared" si="63"/>
        <v>66000</v>
      </c>
    </row>
    <row r="1001" spans="1:7" x14ac:dyDescent="0.25">
      <c r="A1001" t="s">
        <v>1000</v>
      </c>
      <c r="B1001" t="s">
        <v>1005</v>
      </c>
      <c r="C1001" t="str">
        <f t="shared" si="60"/>
        <v>Electronics (Computing Devices)</v>
      </c>
      <c r="D1001" t="str">
        <f>IF(B423="Smartphone",
"Apple",
IF(B423="Smartwatch",
"Apple",
IF(B423="Laptop",
"Lenovo",
IF(B423="Desktop PC",
"Apple",
IF(B423="Tablet",
"Apple",
IF(B423="Headphone",
"Sony",
IF(B423="Camera",
"Sony",
IF(B423="Printer",
"HP",
IF(B423="External Hard Disk",
"Seagate",
"Other")))))))))</f>
        <v>Sony</v>
      </c>
      <c r="E1001" t="str">
        <f t="shared" si="61"/>
        <v>Supertron Electronics</v>
      </c>
      <c r="F1001">
        <f t="shared" si="62"/>
        <v>60000</v>
      </c>
      <c r="G1001">
        <f t="shared" si="63"/>
        <v>66000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C7C9-0F2B-4793-98F5-1649DD69C553}">
  <dimension ref="A1:G41"/>
  <sheetViews>
    <sheetView tabSelected="1" workbookViewId="0">
      <selection activeCell="M24" sqref="M24"/>
    </sheetView>
  </sheetViews>
  <sheetFormatPr defaultRowHeight="15" x14ac:dyDescent="0.25"/>
  <cols>
    <col min="1" max="1" width="9.7109375" style="14" bestFit="1" customWidth="1"/>
    <col min="2" max="2" width="22.85546875" style="14" customWidth="1"/>
    <col min="3" max="3" width="19.28515625" style="14" bestFit="1" customWidth="1"/>
    <col min="4" max="4" width="14.85546875" style="14" bestFit="1" customWidth="1"/>
    <col min="5" max="5" width="20.140625" style="14" bestFit="1" customWidth="1"/>
    <col min="6" max="6" width="9.140625" style="14"/>
    <col min="7" max="7" width="11.42578125" style="14" bestFit="1" customWidth="1"/>
    <col min="8" max="16384" width="9.140625" style="14"/>
  </cols>
  <sheetData>
    <row r="1" spans="1:7" x14ac:dyDescent="0.25">
      <c r="A1" s="4" t="s">
        <v>1023</v>
      </c>
      <c r="B1" s="4" t="s">
        <v>1024</v>
      </c>
      <c r="C1" s="4" t="s">
        <v>1106</v>
      </c>
      <c r="D1" s="4" t="s">
        <v>1025</v>
      </c>
      <c r="E1" s="4" t="s">
        <v>1026</v>
      </c>
      <c r="F1" s="4" t="s">
        <v>1107</v>
      </c>
      <c r="G1" s="4" t="s">
        <v>1108</v>
      </c>
    </row>
    <row r="2" spans="1:7" x14ac:dyDescent="0.25">
      <c r="A2" s="3" t="s">
        <v>1027</v>
      </c>
      <c r="B2" s="3" t="s">
        <v>1004</v>
      </c>
      <c r="C2" s="3" t="s">
        <v>1028</v>
      </c>
      <c r="D2" s="3" t="s">
        <v>1029</v>
      </c>
      <c r="E2" s="3" t="s">
        <v>1030</v>
      </c>
      <c r="F2" s="15">
        <v>95000</v>
      </c>
      <c r="G2" s="15">
        <v>115000</v>
      </c>
    </row>
    <row r="3" spans="1:7" x14ac:dyDescent="0.25">
      <c r="A3" s="3" t="s">
        <v>1031</v>
      </c>
      <c r="B3" s="3" t="s">
        <v>1004</v>
      </c>
      <c r="C3" s="3" t="s">
        <v>1028</v>
      </c>
      <c r="D3" s="3" t="s">
        <v>1032</v>
      </c>
      <c r="E3" s="3" t="s">
        <v>1033</v>
      </c>
      <c r="F3" s="15">
        <v>60000</v>
      </c>
      <c r="G3" s="15">
        <v>72000</v>
      </c>
    </row>
    <row r="4" spans="1:7" x14ac:dyDescent="0.25">
      <c r="A4" s="3" t="s">
        <v>1034</v>
      </c>
      <c r="B4" s="3" t="s">
        <v>1004</v>
      </c>
      <c r="C4" s="3" t="s">
        <v>1028</v>
      </c>
      <c r="D4" s="3" t="s">
        <v>1035</v>
      </c>
      <c r="E4" s="3" t="s">
        <v>1036</v>
      </c>
      <c r="F4" s="15">
        <v>55000</v>
      </c>
      <c r="G4" s="15">
        <v>65000</v>
      </c>
    </row>
    <row r="5" spans="1:7" x14ac:dyDescent="0.25">
      <c r="A5" s="3" t="s">
        <v>1037</v>
      </c>
      <c r="B5" s="3" t="s">
        <v>1004</v>
      </c>
      <c r="C5" s="3" t="s">
        <v>1028</v>
      </c>
      <c r="D5" s="3" t="s">
        <v>1038</v>
      </c>
      <c r="E5" s="3" t="s">
        <v>1036</v>
      </c>
      <c r="F5" s="15">
        <v>52000</v>
      </c>
      <c r="G5" s="15">
        <v>62000</v>
      </c>
    </row>
    <row r="6" spans="1:7" x14ac:dyDescent="0.25">
      <c r="A6" s="3" t="s">
        <v>1039</v>
      </c>
      <c r="B6" s="3" t="s">
        <v>1002</v>
      </c>
      <c r="C6" s="3" t="s">
        <v>1028</v>
      </c>
      <c r="D6" s="3" t="s">
        <v>1040</v>
      </c>
      <c r="E6" s="3" t="s">
        <v>1036</v>
      </c>
      <c r="F6" s="15">
        <v>45000</v>
      </c>
      <c r="G6" s="15">
        <v>52000</v>
      </c>
    </row>
    <row r="7" spans="1:7" x14ac:dyDescent="0.25">
      <c r="A7" s="3" t="s">
        <v>1041</v>
      </c>
      <c r="B7" s="3" t="s">
        <v>1002</v>
      </c>
      <c r="C7" s="3" t="s">
        <v>1028</v>
      </c>
      <c r="D7" s="3" t="s">
        <v>1038</v>
      </c>
      <c r="E7" s="3" t="s">
        <v>1036</v>
      </c>
      <c r="F7" s="15">
        <v>48000</v>
      </c>
      <c r="G7" s="15">
        <v>56000</v>
      </c>
    </row>
    <row r="8" spans="1:7" x14ac:dyDescent="0.25">
      <c r="A8" s="3" t="s">
        <v>1042</v>
      </c>
      <c r="B8" s="3" t="s">
        <v>1002</v>
      </c>
      <c r="C8" s="3" t="s">
        <v>1028</v>
      </c>
      <c r="D8" s="3" t="s">
        <v>1043</v>
      </c>
      <c r="E8" s="3" t="s">
        <v>1044</v>
      </c>
      <c r="F8" s="15">
        <v>40000</v>
      </c>
      <c r="G8" s="15">
        <v>47000</v>
      </c>
    </row>
    <row r="9" spans="1:7" x14ac:dyDescent="0.25">
      <c r="A9" s="3" t="s">
        <v>1045</v>
      </c>
      <c r="B9" s="3" t="s">
        <v>1002</v>
      </c>
      <c r="C9" s="3" t="s">
        <v>1028</v>
      </c>
      <c r="D9" s="3" t="s">
        <v>1035</v>
      </c>
      <c r="E9" s="3" t="s">
        <v>1036</v>
      </c>
      <c r="F9" s="15">
        <v>50000</v>
      </c>
      <c r="G9" s="15">
        <v>58000</v>
      </c>
    </row>
    <row r="10" spans="1:7" x14ac:dyDescent="0.25">
      <c r="A10" s="3" t="s">
        <v>1046</v>
      </c>
      <c r="B10" s="3" t="s">
        <v>1005</v>
      </c>
      <c r="C10" s="3" t="s">
        <v>1028</v>
      </c>
      <c r="D10" s="3" t="s">
        <v>1029</v>
      </c>
      <c r="E10" s="3" t="s">
        <v>1030</v>
      </c>
      <c r="F10" s="15">
        <v>55000</v>
      </c>
      <c r="G10" s="15">
        <v>65000</v>
      </c>
    </row>
    <row r="11" spans="1:7" x14ac:dyDescent="0.25">
      <c r="A11" s="3" t="s">
        <v>1047</v>
      </c>
      <c r="B11" s="3" t="s">
        <v>1005</v>
      </c>
      <c r="C11" s="3" t="s">
        <v>1028</v>
      </c>
      <c r="D11" s="3" t="s">
        <v>1032</v>
      </c>
      <c r="E11" s="3" t="s">
        <v>1033</v>
      </c>
      <c r="F11" s="15">
        <v>35000</v>
      </c>
      <c r="G11" s="15">
        <v>42000</v>
      </c>
    </row>
    <row r="12" spans="1:7" x14ac:dyDescent="0.25">
      <c r="A12" s="3" t="s">
        <v>1048</v>
      </c>
      <c r="B12" s="3" t="s">
        <v>1005</v>
      </c>
      <c r="C12" s="3" t="s">
        <v>1028</v>
      </c>
      <c r="D12" s="3" t="s">
        <v>1040</v>
      </c>
      <c r="E12" s="3" t="s">
        <v>1036</v>
      </c>
      <c r="F12" s="15">
        <v>25000</v>
      </c>
      <c r="G12" s="15">
        <v>30000</v>
      </c>
    </row>
    <row r="13" spans="1:7" x14ac:dyDescent="0.25">
      <c r="A13" s="3" t="s">
        <v>1049</v>
      </c>
      <c r="B13" s="3" t="s">
        <v>1005</v>
      </c>
      <c r="C13" s="3" t="s">
        <v>1028</v>
      </c>
      <c r="D13" s="3" t="s">
        <v>1050</v>
      </c>
      <c r="E13" s="3" t="s">
        <v>1051</v>
      </c>
      <c r="F13" s="15">
        <v>12000</v>
      </c>
      <c r="G13" s="15">
        <v>15000</v>
      </c>
    </row>
    <row r="14" spans="1:7" x14ac:dyDescent="0.25">
      <c r="A14" s="3" t="s">
        <v>1052</v>
      </c>
      <c r="B14" s="3" t="s">
        <v>1003</v>
      </c>
      <c r="C14" s="3" t="s">
        <v>1028</v>
      </c>
      <c r="D14" s="3" t="s">
        <v>1050</v>
      </c>
      <c r="E14" s="3" t="s">
        <v>1051</v>
      </c>
      <c r="F14" s="15">
        <v>9000</v>
      </c>
      <c r="G14" s="15">
        <v>11500</v>
      </c>
    </row>
    <row r="15" spans="1:7" x14ac:dyDescent="0.25">
      <c r="A15" s="3" t="s">
        <v>1053</v>
      </c>
      <c r="B15" s="3" t="s">
        <v>1003</v>
      </c>
      <c r="C15" s="3" t="s">
        <v>1028</v>
      </c>
      <c r="D15" s="3" t="s">
        <v>1054</v>
      </c>
      <c r="E15" s="3" t="s">
        <v>1044</v>
      </c>
      <c r="F15" s="15">
        <v>11000</v>
      </c>
      <c r="G15" s="15">
        <v>13500</v>
      </c>
    </row>
    <row r="16" spans="1:7" x14ac:dyDescent="0.25">
      <c r="A16" s="3" t="s">
        <v>1055</v>
      </c>
      <c r="B16" s="3" t="s">
        <v>1003</v>
      </c>
      <c r="C16" s="3" t="s">
        <v>1028</v>
      </c>
      <c r="D16" s="3" t="s">
        <v>1056</v>
      </c>
      <c r="E16" s="3" t="s">
        <v>1057</v>
      </c>
      <c r="F16" s="15">
        <v>18000</v>
      </c>
      <c r="G16" s="15">
        <v>22000</v>
      </c>
    </row>
    <row r="17" spans="1:7" x14ac:dyDescent="0.25">
      <c r="A17" s="3" t="s">
        <v>1058</v>
      </c>
      <c r="B17" s="3" t="s">
        <v>1003</v>
      </c>
      <c r="C17" s="3" t="s">
        <v>1028</v>
      </c>
      <c r="D17" s="3" t="s">
        <v>1059</v>
      </c>
      <c r="E17" s="3" t="s">
        <v>1060</v>
      </c>
      <c r="F17" s="15">
        <v>15000</v>
      </c>
      <c r="G17" s="15">
        <v>18000</v>
      </c>
    </row>
    <row r="18" spans="1:7" x14ac:dyDescent="0.25">
      <c r="A18" s="3" t="s">
        <v>1061</v>
      </c>
      <c r="B18" s="3" t="s">
        <v>1007</v>
      </c>
      <c r="C18" s="3" t="s">
        <v>1062</v>
      </c>
      <c r="D18" s="3" t="s">
        <v>1029</v>
      </c>
      <c r="E18" s="3" t="s">
        <v>1030</v>
      </c>
      <c r="F18" s="15">
        <v>70000</v>
      </c>
      <c r="G18" s="15">
        <v>82000</v>
      </c>
    </row>
    <row r="19" spans="1:7" x14ac:dyDescent="0.25">
      <c r="A19" s="3" t="s">
        <v>1063</v>
      </c>
      <c r="B19" s="3" t="s">
        <v>1007</v>
      </c>
      <c r="C19" s="3" t="s">
        <v>1062</v>
      </c>
      <c r="D19" s="3" t="s">
        <v>1032</v>
      </c>
      <c r="E19" s="3" t="s">
        <v>1033</v>
      </c>
      <c r="F19" s="15">
        <v>35000</v>
      </c>
      <c r="G19" s="15">
        <v>42000</v>
      </c>
    </row>
    <row r="20" spans="1:7" x14ac:dyDescent="0.25">
      <c r="A20" s="3" t="s">
        <v>1064</v>
      </c>
      <c r="B20" s="3" t="s">
        <v>1007</v>
      </c>
      <c r="C20" s="3" t="s">
        <v>1062</v>
      </c>
      <c r="D20" s="3" t="s">
        <v>1065</v>
      </c>
      <c r="E20" s="3" t="s">
        <v>1044</v>
      </c>
      <c r="F20" s="15">
        <v>18000</v>
      </c>
      <c r="G20" s="15">
        <v>22000</v>
      </c>
    </row>
    <row r="21" spans="1:7" x14ac:dyDescent="0.25">
      <c r="A21" s="3" t="s">
        <v>1066</v>
      </c>
      <c r="B21" s="3" t="s">
        <v>1007</v>
      </c>
      <c r="C21" s="3" t="s">
        <v>1062</v>
      </c>
      <c r="D21" s="3" t="s">
        <v>1067</v>
      </c>
      <c r="E21" s="3" t="s">
        <v>1044</v>
      </c>
      <c r="F21" s="15">
        <v>30000</v>
      </c>
      <c r="G21" s="15">
        <v>36000</v>
      </c>
    </row>
    <row r="22" spans="1:7" x14ac:dyDescent="0.25">
      <c r="A22" s="3" t="s">
        <v>1068</v>
      </c>
      <c r="B22" s="3" t="s">
        <v>1001</v>
      </c>
      <c r="C22" s="3" t="s">
        <v>1062</v>
      </c>
      <c r="D22" s="3" t="s">
        <v>1029</v>
      </c>
      <c r="E22" s="3" t="s">
        <v>1030</v>
      </c>
      <c r="F22" s="15">
        <v>35000</v>
      </c>
      <c r="G22" s="15">
        <v>42000</v>
      </c>
    </row>
    <row r="23" spans="1:7" x14ac:dyDescent="0.25">
      <c r="A23" s="3" t="s">
        <v>1069</v>
      </c>
      <c r="B23" s="3" t="s">
        <v>1001</v>
      </c>
      <c r="C23" s="3" t="s">
        <v>1062</v>
      </c>
      <c r="D23" s="3" t="s">
        <v>1032</v>
      </c>
      <c r="E23" s="3" t="s">
        <v>1033</v>
      </c>
      <c r="F23" s="15">
        <v>18000</v>
      </c>
      <c r="G23" s="15">
        <v>22000</v>
      </c>
    </row>
    <row r="24" spans="1:7" x14ac:dyDescent="0.25">
      <c r="A24" s="3" t="s">
        <v>1070</v>
      </c>
      <c r="B24" s="3" t="s">
        <v>1001</v>
      </c>
      <c r="C24" s="3" t="s">
        <v>1062</v>
      </c>
      <c r="D24" s="3" t="s">
        <v>1071</v>
      </c>
      <c r="E24" s="3" t="s">
        <v>1072</v>
      </c>
      <c r="F24" s="15">
        <v>25000</v>
      </c>
      <c r="G24" s="15">
        <v>30000</v>
      </c>
    </row>
    <row r="25" spans="1:7" x14ac:dyDescent="0.25">
      <c r="A25" s="3" t="s">
        <v>1073</v>
      </c>
      <c r="B25" s="3" t="s">
        <v>1001</v>
      </c>
      <c r="C25" s="3" t="s">
        <v>1062</v>
      </c>
      <c r="D25" s="3" t="s">
        <v>1074</v>
      </c>
      <c r="E25" s="3" t="s">
        <v>1051</v>
      </c>
      <c r="F25" s="15">
        <v>12000</v>
      </c>
      <c r="G25" s="15">
        <v>15000</v>
      </c>
    </row>
    <row r="26" spans="1:7" x14ac:dyDescent="0.25">
      <c r="A26" s="3" t="s">
        <v>1075</v>
      </c>
      <c r="B26" s="3" t="s">
        <v>1008</v>
      </c>
      <c r="C26" s="3" t="s">
        <v>1076</v>
      </c>
      <c r="D26" s="3" t="s">
        <v>1077</v>
      </c>
      <c r="E26" s="3" t="s">
        <v>1072</v>
      </c>
      <c r="F26" s="15">
        <v>12000</v>
      </c>
      <c r="G26" s="15">
        <v>15000</v>
      </c>
    </row>
    <row r="27" spans="1:7" x14ac:dyDescent="0.25">
      <c r="A27" s="3" t="s">
        <v>1078</v>
      </c>
      <c r="B27" s="3" t="s">
        <v>1008</v>
      </c>
      <c r="C27" s="3" t="s">
        <v>1076</v>
      </c>
      <c r="D27" s="3" t="s">
        <v>1079</v>
      </c>
      <c r="E27" s="3" t="s">
        <v>1044</v>
      </c>
      <c r="F27" s="15">
        <v>18000</v>
      </c>
      <c r="G27" s="15">
        <v>22000</v>
      </c>
    </row>
    <row r="28" spans="1:7" x14ac:dyDescent="0.25">
      <c r="A28" s="3" t="s">
        <v>1080</v>
      </c>
      <c r="B28" s="3" t="s">
        <v>1008</v>
      </c>
      <c r="C28" s="3" t="s">
        <v>1076</v>
      </c>
      <c r="D28" s="3" t="s">
        <v>1081</v>
      </c>
      <c r="E28" s="3" t="s">
        <v>1033</v>
      </c>
      <c r="F28" s="15">
        <v>5000</v>
      </c>
      <c r="G28" s="15">
        <v>6500</v>
      </c>
    </row>
    <row r="29" spans="1:7" x14ac:dyDescent="0.25">
      <c r="A29" s="3" t="s">
        <v>1082</v>
      </c>
      <c r="B29" s="3" t="s">
        <v>1008</v>
      </c>
      <c r="C29" s="3" t="s">
        <v>1076</v>
      </c>
      <c r="D29" s="3" t="s">
        <v>1083</v>
      </c>
      <c r="E29" s="3" t="s">
        <v>1051</v>
      </c>
      <c r="F29" s="15">
        <v>14000</v>
      </c>
      <c r="G29" s="15">
        <v>17000</v>
      </c>
    </row>
    <row r="30" spans="1:7" x14ac:dyDescent="0.25">
      <c r="A30" s="3" t="s">
        <v>1084</v>
      </c>
      <c r="B30" s="3" t="s">
        <v>1009</v>
      </c>
      <c r="C30" s="3" t="s">
        <v>1085</v>
      </c>
      <c r="D30" s="3" t="s">
        <v>1038</v>
      </c>
      <c r="E30" s="3" t="s">
        <v>1033</v>
      </c>
      <c r="F30" s="15">
        <v>15000</v>
      </c>
      <c r="G30" s="15">
        <v>18000</v>
      </c>
    </row>
    <row r="31" spans="1:7" x14ac:dyDescent="0.25">
      <c r="A31" s="3" t="s">
        <v>1086</v>
      </c>
      <c r="B31" s="3" t="s">
        <v>1009</v>
      </c>
      <c r="C31" s="3" t="s">
        <v>1085</v>
      </c>
      <c r="D31" s="3" t="s">
        <v>1087</v>
      </c>
      <c r="E31" s="3" t="s">
        <v>1033</v>
      </c>
      <c r="F31" s="15">
        <v>14000</v>
      </c>
      <c r="G31" s="15">
        <v>17000</v>
      </c>
    </row>
    <row r="32" spans="1:7" x14ac:dyDescent="0.25">
      <c r="A32" s="3" t="s">
        <v>1088</v>
      </c>
      <c r="B32" s="3" t="s">
        <v>1009</v>
      </c>
      <c r="C32" s="3" t="s">
        <v>1085</v>
      </c>
      <c r="D32" s="3" t="s">
        <v>1089</v>
      </c>
      <c r="E32" s="3" t="s">
        <v>1044</v>
      </c>
      <c r="F32" s="15">
        <v>16000</v>
      </c>
      <c r="G32" s="15">
        <v>19000</v>
      </c>
    </row>
    <row r="33" spans="1:7" x14ac:dyDescent="0.25">
      <c r="A33" s="3" t="s">
        <v>1090</v>
      </c>
      <c r="B33" s="3" t="s">
        <v>1009</v>
      </c>
      <c r="C33" s="3" t="s">
        <v>1085</v>
      </c>
      <c r="D33" s="3" t="s">
        <v>1091</v>
      </c>
      <c r="E33" s="3" t="s">
        <v>1057</v>
      </c>
      <c r="F33" s="15">
        <v>13000</v>
      </c>
      <c r="G33" s="15">
        <v>16000</v>
      </c>
    </row>
    <row r="34" spans="1:7" x14ac:dyDescent="0.25">
      <c r="A34" s="3" t="s">
        <v>1092</v>
      </c>
      <c r="B34" s="3" t="s">
        <v>1010</v>
      </c>
      <c r="C34" s="3" t="s">
        <v>1085</v>
      </c>
      <c r="D34" s="3" t="s">
        <v>1087</v>
      </c>
      <c r="E34" s="3" t="s">
        <v>1030</v>
      </c>
      <c r="F34" s="15">
        <v>55000</v>
      </c>
      <c r="G34" s="15">
        <v>65000</v>
      </c>
    </row>
    <row r="35" spans="1:7" x14ac:dyDescent="0.25">
      <c r="A35" s="3" t="s">
        <v>1093</v>
      </c>
      <c r="B35" s="3" t="s">
        <v>1010</v>
      </c>
      <c r="C35" s="3" t="s">
        <v>1085</v>
      </c>
      <c r="D35" s="3" t="s">
        <v>1094</v>
      </c>
      <c r="E35" s="3" t="s">
        <v>1030</v>
      </c>
      <c r="F35" s="15">
        <v>60000</v>
      </c>
      <c r="G35" s="15">
        <v>72000</v>
      </c>
    </row>
    <row r="36" spans="1:7" x14ac:dyDescent="0.25">
      <c r="A36" s="3" t="s">
        <v>1095</v>
      </c>
      <c r="B36" s="3" t="s">
        <v>1010</v>
      </c>
      <c r="C36" s="3" t="s">
        <v>1085</v>
      </c>
      <c r="D36" s="3" t="s">
        <v>1077</v>
      </c>
      <c r="E36" s="3" t="s">
        <v>1072</v>
      </c>
      <c r="F36" s="15">
        <v>75000</v>
      </c>
      <c r="G36" s="15">
        <v>90000</v>
      </c>
    </row>
    <row r="37" spans="1:7" x14ac:dyDescent="0.25">
      <c r="A37" s="3" t="s">
        <v>1096</v>
      </c>
      <c r="B37" s="3" t="s">
        <v>1010</v>
      </c>
      <c r="C37" s="3" t="s">
        <v>1085</v>
      </c>
      <c r="D37" s="3" t="s">
        <v>1097</v>
      </c>
      <c r="E37" s="3" t="s">
        <v>1044</v>
      </c>
      <c r="F37" s="15">
        <v>65000</v>
      </c>
      <c r="G37" s="15">
        <v>78000</v>
      </c>
    </row>
    <row r="38" spans="1:7" x14ac:dyDescent="0.25">
      <c r="A38" s="3" t="s">
        <v>1098</v>
      </c>
      <c r="B38" s="3" t="s">
        <v>1006</v>
      </c>
      <c r="C38" s="3" t="s">
        <v>1099</v>
      </c>
      <c r="D38" s="3" t="s">
        <v>1100</v>
      </c>
      <c r="E38" s="3" t="s">
        <v>1072</v>
      </c>
      <c r="F38" s="15">
        <v>6000</v>
      </c>
      <c r="G38" s="15">
        <v>7500</v>
      </c>
    </row>
    <row r="39" spans="1:7" x14ac:dyDescent="0.25">
      <c r="A39" s="3" t="s">
        <v>1101</v>
      </c>
      <c r="B39" s="3" t="s">
        <v>1006</v>
      </c>
      <c r="C39" s="3" t="s">
        <v>1099</v>
      </c>
      <c r="D39" s="3" t="s">
        <v>1102</v>
      </c>
      <c r="E39" s="3" t="s">
        <v>1072</v>
      </c>
      <c r="F39" s="15">
        <v>6500</v>
      </c>
      <c r="G39" s="15">
        <v>8000</v>
      </c>
    </row>
    <row r="40" spans="1:7" x14ac:dyDescent="0.25">
      <c r="A40" s="3" t="s">
        <v>1103</v>
      </c>
      <c r="B40" s="3" t="s">
        <v>1006</v>
      </c>
      <c r="C40" s="3" t="s">
        <v>1099</v>
      </c>
      <c r="D40" s="3" t="s">
        <v>1104</v>
      </c>
      <c r="E40" s="3" t="s">
        <v>1044</v>
      </c>
      <c r="F40" s="15">
        <v>5500</v>
      </c>
      <c r="G40" s="15">
        <v>7000</v>
      </c>
    </row>
    <row r="41" spans="1:7" x14ac:dyDescent="0.25">
      <c r="A41" s="3" t="s">
        <v>1105</v>
      </c>
      <c r="B41" s="3" t="s">
        <v>1006</v>
      </c>
      <c r="C41" s="3" t="s">
        <v>1099</v>
      </c>
      <c r="D41" s="3" t="s">
        <v>1032</v>
      </c>
      <c r="E41" s="3" t="s">
        <v>1033</v>
      </c>
      <c r="F41" s="15">
        <v>7000</v>
      </c>
      <c r="G41" s="15">
        <v>8500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BB03-E126-4663-A5FA-F041B41BF73C}">
  <dimension ref="A1:G1001"/>
  <sheetViews>
    <sheetView workbookViewId="0">
      <selection activeCell="I5" sqref="I5"/>
    </sheetView>
  </sheetViews>
  <sheetFormatPr defaultRowHeight="15" x14ac:dyDescent="0.25"/>
  <cols>
    <col min="1" max="1" width="12.42578125" bestFit="1" customWidth="1"/>
    <col min="2" max="2" width="16" bestFit="1" customWidth="1"/>
    <col min="3" max="3" width="12.28515625" bestFit="1" customWidth="1"/>
    <col min="4" max="4" width="15.7109375" bestFit="1" customWidth="1"/>
    <col min="5" max="5" width="14" bestFit="1" customWidth="1"/>
  </cols>
  <sheetData>
    <row r="1" spans="1:7" x14ac:dyDescent="0.25">
      <c r="A1" s="10" t="s">
        <v>1019</v>
      </c>
      <c r="B1" s="11" t="s">
        <v>1020</v>
      </c>
      <c r="C1" s="10" t="s">
        <v>1016</v>
      </c>
      <c r="D1" s="10" t="s">
        <v>1021</v>
      </c>
      <c r="E1" s="10" t="s">
        <v>1022</v>
      </c>
      <c r="G1" s="1"/>
    </row>
    <row r="2" spans="1:7" x14ac:dyDescent="0.25">
      <c r="A2" s="12" t="s">
        <v>0</v>
      </c>
      <c r="B2" s="13">
        <v>45870</v>
      </c>
      <c r="C2" s="12" t="s">
        <v>1070</v>
      </c>
      <c r="D2" s="12">
        <v>332</v>
      </c>
      <c r="E2" s="12" t="s">
        <v>1143</v>
      </c>
    </row>
    <row r="3" spans="1:7" x14ac:dyDescent="0.25">
      <c r="A3" s="12" t="s">
        <v>1</v>
      </c>
      <c r="B3" s="13">
        <v>45871</v>
      </c>
      <c r="C3" s="12" t="s">
        <v>1048</v>
      </c>
      <c r="D3" s="12">
        <v>719</v>
      </c>
      <c r="E3" s="12" t="s">
        <v>1150</v>
      </c>
    </row>
    <row r="4" spans="1:7" x14ac:dyDescent="0.25">
      <c r="A4" s="12" t="s">
        <v>2</v>
      </c>
      <c r="B4" s="13">
        <v>45871</v>
      </c>
      <c r="C4" s="12" t="s">
        <v>1069</v>
      </c>
      <c r="D4" s="12">
        <v>115</v>
      </c>
      <c r="E4" s="12" t="s">
        <v>1224</v>
      </c>
    </row>
    <row r="5" spans="1:7" x14ac:dyDescent="0.25">
      <c r="A5" s="12" t="s">
        <v>3</v>
      </c>
      <c r="B5" s="13">
        <v>45872</v>
      </c>
      <c r="C5" s="12" t="s">
        <v>1053</v>
      </c>
      <c r="D5" s="12">
        <v>831</v>
      </c>
      <c r="E5" s="12" t="s">
        <v>1183</v>
      </c>
    </row>
    <row r="6" spans="1:7" x14ac:dyDescent="0.25">
      <c r="A6" s="12" t="s">
        <v>4</v>
      </c>
      <c r="B6" s="13">
        <v>45872</v>
      </c>
      <c r="C6" s="12" t="s">
        <v>1046</v>
      </c>
      <c r="D6" s="12">
        <v>325</v>
      </c>
      <c r="E6" s="12" t="s">
        <v>1155</v>
      </c>
    </row>
    <row r="7" spans="1:7" x14ac:dyDescent="0.25">
      <c r="A7" s="12" t="s">
        <v>6</v>
      </c>
      <c r="B7" s="13">
        <v>45872</v>
      </c>
      <c r="C7" s="12" t="s">
        <v>1103</v>
      </c>
      <c r="D7" s="12">
        <v>983</v>
      </c>
      <c r="E7" s="12" t="s">
        <v>1191</v>
      </c>
    </row>
    <row r="8" spans="1:7" x14ac:dyDescent="0.25">
      <c r="A8" s="12" t="s">
        <v>7</v>
      </c>
      <c r="B8" s="13">
        <v>45873</v>
      </c>
      <c r="C8" s="12" t="s">
        <v>1045</v>
      </c>
      <c r="D8" s="12">
        <v>109</v>
      </c>
      <c r="E8" s="12" t="s">
        <v>1168</v>
      </c>
    </row>
    <row r="9" spans="1:7" x14ac:dyDescent="0.25">
      <c r="A9" s="12" t="s">
        <v>8</v>
      </c>
      <c r="B9" s="13">
        <v>45873</v>
      </c>
      <c r="C9" s="12" t="s">
        <v>1101</v>
      </c>
      <c r="D9" s="12">
        <v>497</v>
      </c>
      <c r="E9" s="12" t="s">
        <v>1205</v>
      </c>
    </row>
    <row r="10" spans="1:7" x14ac:dyDescent="0.25">
      <c r="A10" s="12" t="s">
        <v>9</v>
      </c>
      <c r="B10" s="13">
        <v>45873</v>
      </c>
      <c r="C10" s="12" t="s">
        <v>1031</v>
      </c>
      <c r="D10" s="12">
        <v>654</v>
      </c>
      <c r="E10" s="12" t="s">
        <v>1194</v>
      </c>
    </row>
    <row r="11" spans="1:7" x14ac:dyDescent="0.25">
      <c r="A11" s="12" t="s">
        <v>10</v>
      </c>
      <c r="B11" s="13">
        <v>45873</v>
      </c>
      <c r="C11" s="12" t="s">
        <v>1063</v>
      </c>
      <c r="D11" s="12">
        <v>448</v>
      </c>
      <c r="E11" s="12" t="s">
        <v>1136</v>
      </c>
    </row>
    <row r="12" spans="1:7" x14ac:dyDescent="0.25">
      <c r="A12" s="12" t="s">
        <v>11</v>
      </c>
      <c r="B12" s="13">
        <v>45873</v>
      </c>
      <c r="C12" s="12" t="s">
        <v>1068</v>
      </c>
      <c r="D12" s="12">
        <v>732</v>
      </c>
      <c r="E12" s="12" t="s">
        <v>1194</v>
      </c>
    </row>
    <row r="13" spans="1:7" x14ac:dyDescent="0.25">
      <c r="A13" s="12" t="s">
        <v>12</v>
      </c>
      <c r="B13" s="13">
        <v>45873</v>
      </c>
      <c r="C13" s="12" t="s">
        <v>1082</v>
      </c>
      <c r="D13" s="12">
        <v>266</v>
      </c>
      <c r="E13" s="12" t="s">
        <v>1165</v>
      </c>
    </row>
    <row r="14" spans="1:7" x14ac:dyDescent="0.25">
      <c r="A14" s="12" t="s">
        <v>13</v>
      </c>
      <c r="B14" s="13">
        <v>45874</v>
      </c>
      <c r="C14" s="12" t="s">
        <v>1064</v>
      </c>
      <c r="D14" s="12">
        <v>243</v>
      </c>
      <c r="E14" s="12" t="s">
        <v>1186</v>
      </c>
    </row>
    <row r="15" spans="1:7" x14ac:dyDescent="0.25">
      <c r="A15" s="12" t="s">
        <v>14</v>
      </c>
      <c r="B15" s="13">
        <v>45874</v>
      </c>
      <c r="C15" s="12" t="s">
        <v>1069</v>
      </c>
      <c r="D15" s="12">
        <v>617</v>
      </c>
      <c r="E15" s="12" t="s">
        <v>1191</v>
      </c>
    </row>
    <row r="16" spans="1:7" x14ac:dyDescent="0.25">
      <c r="A16" s="12" t="s">
        <v>15</v>
      </c>
      <c r="B16" s="13">
        <v>45874</v>
      </c>
      <c r="C16" s="12" t="s">
        <v>1034</v>
      </c>
      <c r="D16" s="12">
        <v>899</v>
      </c>
      <c r="E16" s="12" t="s">
        <v>1189</v>
      </c>
    </row>
    <row r="17" spans="1:5" x14ac:dyDescent="0.25">
      <c r="A17" s="12" t="s">
        <v>16</v>
      </c>
      <c r="B17" s="13">
        <v>45875</v>
      </c>
      <c r="C17" s="12" t="s">
        <v>1078</v>
      </c>
      <c r="D17" s="12">
        <v>604</v>
      </c>
      <c r="E17" s="12" t="s">
        <v>1211</v>
      </c>
    </row>
    <row r="18" spans="1:5" x14ac:dyDescent="0.25">
      <c r="A18" s="12" t="s">
        <v>17</v>
      </c>
      <c r="B18" s="13">
        <v>45875</v>
      </c>
      <c r="C18" s="12" t="s">
        <v>1052</v>
      </c>
      <c r="D18" s="12">
        <v>241</v>
      </c>
      <c r="E18" s="12" t="s">
        <v>1184</v>
      </c>
    </row>
    <row r="19" spans="1:5" x14ac:dyDescent="0.25">
      <c r="A19" s="12" t="s">
        <v>18</v>
      </c>
      <c r="B19" s="13">
        <v>45875</v>
      </c>
      <c r="C19" s="12" t="s">
        <v>1046</v>
      </c>
      <c r="D19" s="12">
        <v>127</v>
      </c>
      <c r="E19" s="12" t="s">
        <v>1183</v>
      </c>
    </row>
    <row r="20" spans="1:5" x14ac:dyDescent="0.25">
      <c r="A20" s="12" t="s">
        <v>19</v>
      </c>
      <c r="B20" s="13">
        <v>45875</v>
      </c>
      <c r="C20" s="12" t="s">
        <v>1070</v>
      </c>
      <c r="D20" s="12">
        <v>904</v>
      </c>
      <c r="E20" s="12" t="s">
        <v>1148</v>
      </c>
    </row>
    <row r="21" spans="1:5" x14ac:dyDescent="0.25">
      <c r="A21" s="12" t="s">
        <v>20</v>
      </c>
      <c r="B21" s="13">
        <v>45875</v>
      </c>
      <c r="C21" s="12" t="s">
        <v>1103</v>
      </c>
      <c r="D21" s="12">
        <v>113</v>
      </c>
      <c r="E21" s="12" t="s">
        <v>1186</v>
      </c>
    </row>
    <row r="22" spans="1:5" x14ac:dyDescent="0.25">
      <c r="A22" s="12" t="s">
        <v>21</v>
      </c>
      <c r="B22" s="13">
        <v>45876</v>
      </c>
      <c r="C22" s="12" t="s">
        <v>1037</v>
      </c>
      <c r="D22" s="12">
        <v>923</v>
      </c>
      <c r="E22" s="12" t="s">
        <v>1197</v>
      </c>
    </row>
    <row r="23" spans="1:5" x14ac:dyDescent="0.25">
      <c r="A23" s="12" t="s">
        <v>22</v>
      </c>
      <c r="B23" s="13">
        <v>45876</v>
      </c>
      <c r="C23" s="12" t="s">
        <v>1061</v>
      </c>
      <c r="D23" s="12">
        <v>231</v>
      </c>
      <c r="E23" s="12" t="s">
        <v>1205</v>
      </c>
    </row>
    <row r="24" spans="1:5" x14ac:dyDescent="0.25">
      <c r="A24" s="12" t="s">
        <v>23</v>
      </c>
      <c r="B24" s="13">
        <v>45876</v>
      </c>
      <c r="C24" s="12" t="s">
        <v>1063</v>
      </c>
      <c r="D24" s="12">
        <v>736</v>
      </c>
      <c r="E24" s="12" t="s">
        <v>1149</v>
      </c>
    </row>
    <row r="25" spans="1:5" x14ac:dyDescent="0.25">
      <c r="A25" s="12" t="s">
        <v>24</v>
      </c>
      <c r="B25" s="13">
        <v>45876</v>
      </c>
      <c r="C25" s="12" t="s">
        <v>1073</v>
      </c>
      <c r="D25" s="12">
        <v>167</v>
      </c>
      <c r="E25" s="12" t="s">
        <v>1163</v>
      </c>
    </row>
    <row r="26" spans="1:5" x14ac:dyDescent="0.25">
      <c r="A26" s="12" t="s">
        <v>25</v>
      </c>
      <c r="B26" s="13">
        <v>45876</v>
      </c>
      <c r="C26" s="12" t="s">
        <v>1095</v>
      </c>
      <c r="D26" s="12">
        <v>579</v>
      </c>
      <c r="E26" s="12" t="s">
        <v>1164</v>
      </c>
    </row>
    <row r="27" spans="1:5" x14ac:dyDescent="0.25">
      <c r="A27" s="12" t="s">
        <v>26</v>
      </c>
      <c r="B27" s="13">
        <v>45876</v>
      </c>
      <c r="C27" s="12" t="s">
        <v>1075</v>
      </c>
      <c r="D27" s="12">
        <v>343</v>
      </c>
      <c r="E27" s="12" t="s">
        <v>1219</v>
      </c>
    </row>
    <row r="28" spans="1:5" x14ac:dyDescent="0.25">
      <c r="A28" s="12" t="s">
        <v>27</v>
      </c>
      <c r="B28" s="13">
        <v>45877</v>
      </c>
      <c r="C28" s="12" t="s">
        <v>1064</v>
      </c>
      <c r="D28" s="12">
        <v>655</v>
      </c>
      <c r="E28" s="12" t="s">
        <v>1171</v>
      </c>
    </row>
    <row r="29" spans="1:5" x14ac:dyDescent="0.25">
      <c r="A29" s="12" t="s">
        <v>28</v>
      </c>
      <c r="B29" s="13">
        <v>45877</v>
      </c>
      <c r="C29" s="12" t="s">
        <v>1039</v>
      </c>
      <c r="D29" s="12">
        <v>664</v>
      </c>
      <c r="E29" s="12" t="s">
        <v>1137</v>
      </c>
    </row>
    <row r="30" spans="1:5" x14ac:dyDescent="0.25">
      <c r="A30" s="12" t="s">
        <v>29</v>
      </c>
      <c r="B30" s="13">
        <v>45877</v>
      </c>
      <c r="C30" s="12" t="s">
        <v>1068</v>
      </c>
      <c r="D30" s="12">
        <v>248</v>
      </c>
      <c r="E30" s="12" t="s">
        <v>1156</v>
      </c>
    </row>
    <row r="31" spans="1:5" x14ac:dyDescent="0.25">
      <c r="A31" s="12" t="s">
        <v>30</v>
      </c>
      <c r="B31" s="13">
        <v>45877</v>
      </c>
      <c r="C31" s="12" t="s">
        <v>1039</v>
      </c>
      <c r="D31" s="12">
        <v>329</v>
      </c>
      <c r="E31" s="12" t="s">
        <v>1134</v>
      </c>
    </row>
    <row r="32" spans="1:5" x14ac:dyDescent="0.25">
      <c r="A32" s="12" t="s">
        <v>31</v>
      </c>
      <c r="B32" s="13">
        <v>45877</v>
      </c>
      <c r="C32" s="12" t="s">
        <v>1048</v>
      </c>
      <c r="D32" s="12">
        <v>445</v>
      </c>
      <c r="E32" s="12" t="s">
        <v>1188</v>
      </c>
    </row>
    <row r="33" spans="1:5" x14ac:dyDescent="0.25">
      <c r="A33" s="12" t="s">
        <v>32</v>
      </c>
      <c r="B33" s="13">
        <v>45877</v>
      </c>
      <c r="C33" s="12" t="s">
        <v>1093</v>
      </c>
      <c r="D33" s="12">
        <v>929</v>
      </c>
      <c r="E33" s="12" t="s">
        <v>1167</v>
      </c>
    </row>
    <row r="34" spans="1:5" x14ac:dyDescent="0.25">
      <c r="A34" s="12" t="s">
        <v>33</v>
      </c>
      <c r="B34" s="13">
        <v>45878</v>
      </c>
      <c r="C34" s="12" t="s">
        <v>1075</v>
      </c>
      <c r="D34" s="12">
        <v>397</v>
      </c>
      <c r="E34" s="12" t="s">
        <v>1148</v>
      </c>
    </row>
    <row r="35" spans="1:5" x14ac:dyDescent="0.25">
      <c r="A35" s="12" t="s">
        <v>34</v>
      </c>
      <c r="B35" s="13">
        <v>45878</v>
      </c>
      <c r="C35" s="12" t="s">
        <v>1092</v>
      </c>
      <c r="D35" s="12">
        <v>709</v>
      </c>
      <c r="E35" s="12" t="s">
        <v>1164</v>
      </c>
    </row>
    <row r="36" spans="1:5" x14ac:dyDescent="0.25">
      <c r="A36" s="12" t="s">
        <v>35</v>
      </c>
      <c r="B36" s="13">
        <v>45878</v>
      </c>
      <c r="C36" s="12" t="s">
        <v>1093</v>
      </c>
      <c r="D36" s="12">
        <v>200</v>
      </c>
      <c r="E36" s="12" t="s">
        <v>1140</v>
      </c>
    </row>
    <row r="37" spans="1:5" x14ac:dyDescent="0.25">
      <c r="A37" s="12" t="s">
        <v>36</v>
      </c>
      <c r="B37" s="13">
        <v>45878</v>
      </c>
      <c r="C37" s="12" t="s">
        <v>1098</v>
      </c>
      <c r="D37" s="12">
        <v>882</v>
      </c>
      <c r="E37" s="12" t="s">
        <v>1141</v>
      </c>
    </row>
    <row r="38" spans="1:5" x14ac:dyDescent="0.25">
      <c r="A38" s="12" t="s">
        <v>37</v>
      </c>
      <c r="B38" s="13">
        <v>45879</v>
      </c>
      <c r="C38" s="12" t="s">
        <v>1098</v>
      </c>
      <c r="D38" s="12">
        <v>101</v>
      </c>
      <c r="E38" s="12" t="s">
        <v>1193</v>
      </c>
    </row>
    <row r="39" spans="1:5" x14ac:dyDescent="0.25">
      <c r="A39" s="12" t="s">
        <v>38</v>
      </c>
      <c r="B39" s="13">
        <v>45879</v>
      </c>
      <c r="C39" s="12" t="s">
        <v>1061</v>
      </c>
      <c r="D39" s="12">
        <v>961</v>
      </c>
      <c r="E39" s="12" t="s">
        <v>1176</v>
      </c>
    </row>
    <row r="40" spans="1:5" x14ac:dyDescent="0.25">
      <c r="A40" s="12" t="s">
        <v>39</v>
      </c>
      <c r="B40" s="13">
        <v>45879</v>
      </c>
      <c r="C40" s="12" t="s">
        <v>1101</v>
      </c>
      <c r="D40" s="12">
        <v>918</v>
      </c>
      <c r="E40" s="12" t="s">
        <v>1202</v>
      </c>
    </row>
    <row r="41" spans="1:5" x14ac:dyDescent="0.25">
      <c r="A41" s="12" t="s">
        <v>40</v>
      </c>
      <c r="B41" s="13">
        <v>45879</v>
      </c>
      <c r="C41" s="12" t="s">
        <v>1080</v>
      </c>
      <c r="D41" s="12">
        <v>404</v>
      </c>
      <c r="E41" s="12" t="s">
        <v>1139</v>
      </c>
    </row>
    <row r="42" spans="1:5" x14ac:dyDescent="0.25">
      <c r="A42" s="12" t="s">
        <v>41</v>
      </c>
      <c r="B42" s="13">
        <v>45879</v>
      </c>
      <c r="C42" s="12" t="s">
        <v>1061</v>
      </c>
      <c r="D42" s="12">
        <v>565</v>
      </c>
      <c r="E42" s="12" t="s">
        <v>1147</v>
      </c>
    </row>
    <row r="43" spans="1:5" x14ac:dyDescent="0.25">
      <c r="A43" s="12" t="s">
        <v>42</v>
      </c>
      <c r="B43" s="13">
        <v>45879</v>
      </c>
      <c r="C43" s="12" t="s">
        <v>1063</v>
      </c>
      <c r="D43" s="12">
        <v>975</v>
      </c>
      <c r="E43" s="12" t="s">
        <v>1186</v>
      </c>
    </row>
    <row r="44" spans="1:5" x14ac:dyDescent="0.25">
      <c r="A44" s="12" t="s">
        <v>43</v>
      </c>
      <c r="B44" s="13">
        <v>45880</v>
      </c>
      <c r="C44" s="12" t="s">
        <v>1046</v>
      </c>
      <c r="D44" s="12">
        <v>364</v>
      </c>
      <c r="E44" s="12" t="s">
        <v>1163</v>
      </c>
    </row>
    <row r="45" spans="1:5" x14ac:dyDescent="0.25">
      <c r="A45" s="12" t="s">
        <v>44</v>
      </c>
      <c r="B45" s="13">
        <v>45880</v>
      </c>
      <c r="C45" s="12" t="s">
        <v>1066</v>
      </c>
      <c r="D45" s="12">
        <v>974</v>
      </c>
      <c r="E45" s="12" t="s">
        <v>1152</v>
      </c>
    </row>
    <row r="46" spans="1:5" x14ac:dyDescent="0.25">
      <c r="A46" s="12" t="s">
        <v>45</v>
      </c>
      <c r="B46" s="13">
        <v>45880</v>
      </c>
      <c r="C46" s="12" t="s">
        <v>1088</v>
      </c>
      <c r="D46" s="12">
        <v>899</v>
      </c>
      <c r="E46" s="12" t="s">
        <v>1167</v>
      </c>
    </row>
    <row r="47" spans="1:5" x14ac:dyDescent="0.25">
      <c r="A47" s="12" t="s">
        <v>46</v>
      </c>
      <c r="B47" s="13">
        <v>45881</v>
      </c>
      <c r="C47" s="12" t="s">
        <v>1084</v>
      </c>
      <c r="D47" s="12">
        <v>102</v>
      </c>
      <c r="E47" s="12" t="s">
        <v>1220</v>
      </c>
    </row>
    <row r="48" spans="1:5" x14ac:dyDescent="0.25">
      <c r="A48" s="12" t="s">
        <v>47</v>
      </c>
      <c r="B48" s="13">
        <v>45881</v>
      </c>
      <c r="C48" s="12" t="s">
        <v>1045</v>
      </c>
      <c r="D48" s="12">
        <v>918</v>
      </c>
      <c r="E48" s="12" t="s">
        <v>1204</v>
      </c>
    </row>
    <row r="49" spans="1:5" x14ac:dyDescent="0.25">
      <c r="A49" s="12" t="s">
        <v>48</v>
      </c>
      <c r="B49" s="13">
        <v>45881</v>
      </c>
      <c r="C49" s="12" t="s">
        <v>1084</v>
      </c>
      <c r="D49" s="12">
        <v>980</v>
      </c>
      <c r="E49" s="12" t="s">
        <v>1224</v>
      </c>
    </row>
    <row r="50" spans="1:5" x14ac:dyDescent="0.25">
      <c r="A50" s="12" t="s">
        <v>49</v>
      </c>
      <c r="B50" s="13">
        <v>45882</v>
      </c>
      <c r="C50" s="12" t="s">
        <v>1098</v>
      </c>
      <c r="D50" s="12">
        <v>683</v>
      </c>
      <c r="E50" s="12" t="s">
        <v>1199</v>
      </c>
    </row>
    <row r="51" spans="1:5" x14ac:dyDescent="0.25">
      <c r="A51" s="12" t="s">
        <v>50</v>
      </c>
      <c r="B51" s="13">
        <v>45882</v>
      </c>
      <c r="C51" s="12" t="s">
        <v>1084</v>
      </c>
      <c r="D51" s="12">
        <v>158</v>
      </c>
      <c r="E51" s="12" t="s">
        <v>1198</v>
      </c>
    </row>
    <row r="52" spans="1:5" x14ac:dyDescent="0.25">
      <c r="A52" s="12" t="s">
        <v>51</v>
      </c>
      <c r="B52" s="13">
        <v>45883</v>
      </c>
      <c r="C52" s="12" t="s">
        <v>1041</v>
      </c>
      <c r="D52" s="12">
        <v>964</v>
      </c>
      <c r="E52" s="12" t="s">
        <v>1228</v>
      </c>
    </row>
    <row r="53" spans="1:5" x14ac:dyDescent="0.25">
      <c r="A53" s="12" t="s">
        <v>52</v>
      </c>
      <c r="B53" s="13">
        <v>45883</v>
      </c>
      <c r="C53" s="12" t="s">
        <v>1055</v>
      </c>
      <c r="D53" s="12">
        <v>667</v>
      </c>
      <c r="E53" s="12" t="s">
        <v>1169</v>
      </c>
    </row>
    <row r="54" spans="1:5" x14ac:dyDescent="0.25">
      <c r="A54" s="12" t="s">
        <v>53</v>
      </c>
      <c r="B54" s="13">
        <v>45883</v>
      </c>
      <c r="C54" s="12" t="s">
        <v>1095</v>
      </c>
      <c r="D54" s="12">
        <v>904</v>
      </c>
      <c r="E54" s="12" t="s">
        <v>1185</v>
      </c>
    </row>
    <row r="55" spans="1:5" x14ac:dyDescent="0.25">
      <c r="A55" s="12" t="s">
        <v>54</v>
      </c>
      <c r="B55" s="13">
        <v>45883</v>
      </c>
      <c r="C55" s="12" t="s">
        <v>1073</v>
      </c>
      <c r="D55" s="12">
        <v>699</v>
      </c>
      <c r="E55" s="12" t="s">
        <v>1224</v>
      </c>
    </row>
    <row r="56" spans="1:5" x14ac:dyDescent="0.25">
      <c r="A56" s="12" t="s">
        <v>55</v>
      </c>
      <c r="B56" s="13">
        <v>45883</v>
      </c>
      <c r="C56" s="12" t="s">
        <v>1048</v>
      </c>
      <c r="D56" s="12">
        <v>630</v>
      </c>
      <c r="E56" s="12" t="s">
        <v>1166</v>
      </c>
    </row>
    <row r="57" spans="1:5" x14ac:dyDescent="0.25">
      <c r="A57" s="12" t="s">
        <v>56</v>
      </c>
      <c r="B57" s="13">
        <v>45883</v>
      </c>
      <c r="C57" s="12" t="s">
        <v>1058</v>
      </c>
      <c r="D57" s="12">
        <v>793</v>
      </c>
      <c r="E57" s="12" t="s">
        <v>1196</v>
      </c>
    </row>
    <row r="58" spans="1:5" x14ac:dyDescent="0.25">
      <c r="A58" s="12" t="s">
        <v>57</v>
      </c>
      <c r="B58" s="13">
        <v>45884</v>
      </c>
      <c r="C58" s="12" t="s">
        <v>1073</v>
      </c>
      <c r="D58" s="12">
        <v>825</v>
      </c>
      <c r="E58" s="12" t="s">
        <v>1202</v>
      </c>
    </row>
    <row r="59" spans="1:5" x14ac:dyDescent="0.25">
      <c r="A59" s="12" t="s">
        <v>58</v>
      </c>
      <c r="B59" s="13">
        <v>45884</v>
      </c>
      <c r="C59" s="12" t="s">
        <v>1047</v>
      </c>
      <c r="D59" s="12">
        <v>998</v>
      </c>
      <c r="E59" s="12" t="s">
        <v>1163</v>
      </c>
    </row>
    <row r="60" spans="1:5" x14ac:dyDescent="0.25">
      <c r="A60" s="12" t="s">
        <v>59</v>
      </c>
      <c r="B60" s="13">
        <v>45885</v>
      </c>
      <c r="C60" s="12" t="s">
        <v>1048</v>
      </c>
      <c r="D60" s="12">
        <v>559</v>
      </c>
      <c r="E60" s="12" t="s">
        <v>1185</v>
      </c>
    </row>
    <row r="61" spans="1:5" x14ac:dyDescent="0.25">
      <c r="A61" s="12" t="s">
        <v>60</v>
      </c>
      <c r="B61" s="13">
        <v>45885</v>
      </c>
      <c r="C61" s="12" t="s">
        <v>1046</v>
      </c>
      <c r="D61" s="12">
        <v>920</v>
      </c>
      <c r="E61" s="12" t="s">
        <v>1170</v>
      </c>
    </row>
    <row r="62" spans="1:5" x14ac:dyDescent="0.25">
      <c r="A62" s="12" t="s">
        <v>61</v>
      </c>
      <c r="B62" s="13">
        <v>45885</v>
      </c>
      <c r="C62" s="12" t="s">
        <v>1080</v>
      </c>
      <c r="D62" s="12">
        <v>177</v>
      </c>
      <c r="E62" s="12" t="s">
        <v>1224</v>
      </c>
    </row>
    <row r="63" spans="1:5" x14ac:dyDescent="0.25">
      <c r="A63" s="12" t="s">
        <v>62</v>
      </c>
      <c r="B63" s="13">
        <v>45886</v>
      </c>
      <c r="C63" s="12" t="s">
        <v>1098</v>
      </c>
      <c r="D63" s="12">
        <v>113</v>
      </c>
      <c r="E63" s="12" t="s">
        <v>1216</v>
      </c>
    </row>
    <row r="64" spans="1:5" x14ac:dyDescent="0.25">
      <c r="A64" s="12" t="s">
        <v>63</v>
      </c>
      <c r="B64" s="13">
        <v>45886</v>
      </c>
      <c r="C64" s="12" t="s">
        <v>1098</v>
      </c>
      <c r="D64" s="12">
        <v>189</v>
      </c>
      <c r="E64" s="12" t="s">
        <v>1224</v>
      </c>
    </row>
    <row r="65" spans="1:5" x14ac:dyDescent="0.25">
      <c r="A65" s="12" t="s">
        <v>64</v>
      </c>
      <c r="B65" s="13">
        <v>45886</v>
      </c>
      <c r="C65" s="12" t="s">
        <v>1105</v>
      </c>
      <c r="D65" s="12">
        <v>202</v>
      </c>
      <c r="E65" s="12" t="s">
        <v>1136</v>
      </c>
    </row>
    <row r="66" spans="1:5" x14ac:dyDescent="0.25">
      <c r="A66" s="12" t="s">
        <v>65</v>
      </c>
      <c r="B66" s="13">
        <v>45886</v>
      </c>
      <c r="C66" s="12" t="s">
        <v>1047</v>
      </c>
      <c r="D66" s="12">
        <v>518</v>
      </c>
      <c r="E66" s="12" t="s">
        <v>1143</v>
      </c>
    </row>
    <row r="67" spans="1:5" x14ac:dyDescent="0.25">
      <c r="A67" s="12" t="s">
        <v>66</v>
      </c>
      <c r="B67" s="13">
        <v>45887</v>
      </c>
      <c r="C67" s="12" t="s">
        <v>1068</v>
      </c>
      <c r="D67" s="12">
        <v>674</v>
      </c>
      <c r="E67" s="12" t="s">
        <v>1221</v>
      </c>
    </row>
    <row r="68" spans="1:5" x14ac:dyDescent="0.25">
      <c r="A68" s="12" t="s">
        <v>67</v>
      </c>
      <c r="B68" s="13">
        <v>45887</v>
      </c>
      <c r="C68" s="12" t="s">
        <v>1096</v>
      </c>
      <c r="D68" s="12">
        <v>524</v>
      </c>
      <c r="E68" s="12" t="s">
        <v>1160</v>
      </c>
    </row>
    <row r="69" spans="1:5" x14ac:dyDescent="0.25">
      <c r="A69" s="12" t="s">
        <v>68</v>
      </c>
      <c r="B69" s="13">
        <v>45887</v>
      </c>
      <c r="C69" s="12" t="s">
        <v>1049</v>
      </c>
      <c r="D69" s="12">
        <v>217</v>
      </c>
      <c r="E69" s="12" t="s">
        <v>1149</v>
      </c>
    </row>
    <row r="70" spans="1:5" x14ac:dyDescent="0.25">
      <c r="A70" s="12" t="s">
        <v>69</v>
      </c>
      <c r="B70" s="13">
        <v>45887</v>
      </c>
      <c r="C70" s="12" t="s">
        <v>1096</v>
      </c>
      <c r="D70" s="12">
        <v>235</v>
      </c>
      <c r="E70" s="12" t="s">
        <v>1136</v>
      </c>
    </row>
    <row r="71" spans="1:5" x14ac:dyDescent="0.25">
      <c r="A71" s="12" t="s">
        <v>70</v>
      </c>
      <c r="B71" s="13">
        <v>45887</v>
      </c>
      <c r="C71" s="12" t="s">
        <v>1086</v>
      </c>
      <c r="D71" s="12">
        <v>540</v>
      </c>
      <c r="E71" s="12" t="s">
        <v>1201</v>
      </c>
    </row>
    <row r="72" spans="1:5" x14ac:dyDescent="0.25">
      <c r="A72" s="12" t="s">
        <v>71</v>
      </c>
      <c r="B72" s="13">
        <v>45888</v>
      </c>
      <c r="C72" s="12" t="s">
        <v>1058</v>
      </c>
      <c r="D72" s="12">
        <v>293</v>
      </c>
      <c r="E72" s="12" t="s">
        <v>1217</v>
      </c>
    </row>
    <row r="73" spans="1:5" x14ac:dyDescent="0.25">
      <c r="A73" s="12" t="s">
        <v>72</v>
      </c>
      <c r="B73" s="13">
        <v>45888</v>
      </c>
      <c r="C73" s="12" t="s">
        <v>1069</v>
      </c>
      <c r="D73" s="12">
        <v>670</v>
      </c>
      <c r="E73" s="12" t="s">
        <v>1174</v>
      </c>
    </row>
    <row r="74" spans="1:5" x14ac:dyDescent="0.25">
      <c r="A74" s="12" t="s">
        <v>73</v>
      </c>
      <c r="B74" s="13">
        <v>45888</v>
      </c>
      <c r="C74" s="12" t="s">
        <v>1055</v>
      </c>
      <c r="D74" s="12">
        <v>807</v>
      </c>
      <c r="E74" s="12" t="s">
        <v>1171</v>
      </c>
    </row>
    <row r="75" spans="1:5" x14ac:dyDescent="0.25">
      <c r="A75" s="12" t="s">
        <v>74</v>
      </c>
      <c r="B75" s="13">
        <v>45888</v>
      </c>
      <c r="C75" s="12" t="s">
        <v>1088</v>
      </c>
      <c r="D75" s="12">
        <v>633</v>
      </c>
      <c r="E75" s="12" t="s">
        <v>1134</v>
      </c>
    </row>
    <row r="76" spans="1:5" x14ac:dyDescent="0.25">
      <c r="A76" s="12" t="s">
        <v>75</v>
      </c>
      <c r="B76" s="13">
        <v>45888</v>
      </c>
      <c r="C76" s="12" t="s">
        <v>1073</v>
      </c>
      <c r="D76" s="12">
        <v>102</v>
      </c>
      <c r="E76" s="12" t="s">
        <v>1219</v>
      </c>
    </row>
    <row r="77" spans="1:5" x14ac:dyDescent="0.25">
      <c r="A77" s="12" t="s">
        <v>76</v>
      </c>
      <c r="B77" s="13">
        <v>45889</v>
      </c>
      <c r="C77" s="12" t="s">
        <v>1061</v>
      </c>
      <c r="D77" s="12">
        <v>455</v>
      </c>
      <c r="E77" s="12" t="s">
        <v>1138</v>
      </c>
    </row>
    <row r="78" spans="1:5" x14ac:dyDescent="0.25">
      <c r="A78" s="12" t="s">
        <v>77</v>
      </c>
      <c r="B78" s="13">
        <v>45889</v>
      </c>
      <c r="C78" s="12" t="s">
        <v>1092</v>
      </c>
      <c r="D78" s="12">
        <v>309</v>
      </c>
      <c r="E78" s="12" t="s">
        <v>1160</v>
      </c>
    </row>
    <row r="79" spans="1:5" x14ac:dyDescent="0.25">
      <c r="A79" s="12" t="s">
        <v>78</v>
      </c>
      <c r="B79" s="13">
        <v>45889</v>
      </c>
      <c r="C79" s="12" t="s">
        <v>1061</v>
      </c>
      <c r="D79" s="12">
        <v>738</v>
      </c>
      <c r="E79" s="12" t="s">
        <v>1206</v>
      </c>
    </row>
    <row r="80" spans="1:5" x14ac:dyDescent="0.25">
      <c r="A80" s="12" t="s">
        <v>79</v>
      </c>
      <c r="B80" s="13">
        <v>45889</v>
      </c>
      <c r="C80" s="12" t="s">
        <v>1066</v>
      </c>
      <c r="D80" s="12">
        <v>696</v>
      </c>
      <c r="E80" s="12" t="s">
        <v>1191</v>
      </c>
    </row>
    <row r="81" spans="1:5" x14ac:dyDescent="0.25">
      <c r="A81" s="12" t="s">
        <v>80</v>
      </c>
      <c r="B81" s="13">
        <v>45889</v>
      </c>
      <c r="C81" s="12" t="s">
        <v>1096</v>
      </c>
      <c r="D81" s="12">
        <v>222</v>
      </c>
      <c r="E81" s="12" t="s">
        <v>1203</v>
      </c>
    </row>
    <row r="82" spans="1:5" x14ac:dyDescent="0.25">
      <c r="A82" s="12" t="s">
        <v>81</v>
      </c>
      <c r="B82" s="13">
        <v>45889</v>
      </c>
      <c r="C82" s="12" t="s">
        <v>1068</v>
      </c>
      <c r="D82" s="12">
        <v>885</v>
      </c>
      <c r="E82" s="12" t="s">
        <v>1146</v>
      </c>
    </row>
    <row r="83" spans="1:5" x14ac:dyDescent="0.25">
      <c r="A83" s="12" t="s">
        <v>82</v>
      </c>
      <c r="B83" s="13">
        <v>45889</v>
      </c>
      <c r="C83" s="12" t="s">
        <v>1041</v>
      </c>
      <c r="D83" s="12">
        <v>279</v>
      </c>
      <c r="E83" s="12" t="s">
        <v>1231</v>
      </c>
    </row>
    <row r="84" spans="1:5" x14ac:dyDescent="0.25">
      <c r="A84" s="12" t="s">
        <v>83</v>
      </c>
      <c r="B84" s="13">
        <v>45890</v>
      </c>
      <c r="C84" s="12" t="s">
        <v>1052</v>
      </c>
      <c r="D84" s="12">
        <v>515</v>
      </c>
      <c r="E84" s="12" t="s">
        <v>1206</v>
      </c>
    </row>
    <row r="85" spans="1:5" x14ac:dyDescent="0.25">
      <c r="A85" s="12" t="s">
        <v>84</v>
      </c>
      <c r="B85" s="13">
        <v>45890</v>
      </c>
      <c r="C85" s="12" t="s">
        <v>1078</v>
      </c>
      <c r="D85" s="12">
        <v>698</v>
      </c>
      <c r="E85" s="12" t="s">
        <v>1146</v>
      </c>
    </row>
    <row r="86" spans="1:5" x14ac:dyDescent="0.25">
      <c r="A86" s="12" t="s">
        <v>85</v>
      </c>
      <c r="B86" s="13">
        <v>45891</v>
      </c>
      <c r="C86" s="12" t="s">
        <v>1073</v>
      </c>
      <c r="D86" s="12">
        <v>440</v>
      </c>
      <c r="E86" s="12" t="s">
        <v>1225</v>
      </c>
    </row>
    <row r="87" spans="1:5" x14ac:dyDescent="0.25">
      <c r="A87" s="12" t="s">
        <v>86</v>
      </c>
      <c r="B87" s="13">
        <v>45891</v>
      </c>
      <c r="C87" s="12" t="s">
        <v>1088</v>
      </c>
      <c r="D87" s="12">
        <v>157</v>
      </c>
      <c r="E87" s="12" t="s">
        <v>1167</v>
      </c>
    </row>
    <row r="88" spans="1:5" x14ac:dyDescent="0.25">
      <c r="A88" s="12" t="s">
        <v>87</v>
      </c>
      <c r="B88" s="13">
        <v>45891</v>
      </c>
      <c r="C88" s="12" t="s">
        <v>1061</v>
      </c>
      <c r="D88" s="12">
        <v>159</v>
      </c>
      <c r="E88" s="12" t="s">
        <v>1158</v>
      </c>
    </row>
    <row r="89" spans="1:5" x14ac:dyDescent="0.25">
      <c r="A89" s="12" t="s">
        <v>88</v>
      </c>
      <c r="B89" s="13">
        <v>45891</v>
      </c>
      <c r="C89" s="12" t="s">
        <v>1049</v>
      </c>
      <c r="D89" s="12">
        <v>698</v>
      </c>
      <c r="E89" s="12" t="s">
        <v>1182</v>
      </c>
    </row>
    <row r="90" spans="1:5" x14ac:dyDescent="0.25">
      <c r="A90" s="12" t="s">
        <v>89</v>
      </c>
      <c r="B90" s="13">
        <v>45892</v>
      </c>
      <c r="C90" s="12" t="s">
        <v>1101</v>
      </c>
      <c r="D90" s="12">
        <v>151</v>
      </c>
      <c r="E90" s="12" t="s">
        <v>1165</v>
      </c>
    </row>
    <row r="91" spans="1:5" x14ac:dyDescent="0.25">
      <c r="A91" s="12" t="s">
        <v>90</v>
      </c>
      <c r="B91" s="13">
        <v>45892</v>
      </c>
      <c r="C91" s="12" t="s">
        <v>1053</v>
      </c>
      <c r="D91" s="12">
        <v>622</v>
      </c>
      <c r="E91" s="12" t="s">
        <v>1172</v>
      </c>
    </row>
    <row r="92" spans="1:5" x14ac:dyDescent="0.25">
      <c r="A92" s="12" t="s">
        <v>91</v>
      </c>
      <c r="B92" s="13">
        <v>45892</v>
      </c>
      <c r="C92" s="12" t="s">
        <v>1075</v>
      </c>
      <c r="D92" s="12">
        <v>732</v>
      </c>
      <c r="E92" s="12" t="s">
        <v>1156</v>
      </c>
    </row>
    <row r="93" spans="1:5" x14ac:dyDescent="0.25">
      <c r="A93" s="12" t="s">
        <v>92</v>
      </c>
      <c r="B93" s="13">
        <v>45893</v>
      </c>
      <c r="C93" s="12" t="s">
        <v>1049</v>
      </c>
      <c r="D93" s="12">
        <v>418</v>
      </c>
      <c r="E93" s="12" t="s">
        <v>1179</v>
      </c>
    </row>
    <row r="94" spans="1:5" x14ac:dyDescent="0.25">
      <c r="A94" s="12" t="s">
        <v>93</v>
      </c>
      <c r="B94" s="13">
        <v>45893</v>
      </c>
      <c r="C94" s="12" t="s">
        <v>1073</v>
      </c>
      <c r="D94" s="12">
        <v>900</v>
      </c>
      <c r="E94" s="12" t="s">
        <v>1177</v>
      </c>
    </row>
    <row r="95" spans="1:5" x14ac:dyDescent="0.25">
      <c r="A95" s="12" t="s">
        <v>94</v>
      </c>
      <c r="B95" s="13">
        <v>45893</v>
      </c>
      <c r="C95" s="12" t="s">
        <v>1034</v>
      </c>
      <c r="D95" s="12">
        <v>518</v>
      </c>
      <c r="E95" s="12" t="s">
        <v>1202</v>
      </c>
    </row>
    <row r="96" spans="1:5" x14ac:dyDescent="0.25">
      <c r="A96" s="12" t="s">
        <v>95</v>
      </c>
      <c r="B96" s="13">
        <v>45894</v>
      </c>
      <c r="C96" s="12" t="s">
        <v>1084</v>
      </c>
      <c r="D96" s="12">
        <v>114</v>
      </c>
      <c r="E96" s="12" t="s">
        <v>1197</v>
      </c>
    </row>
    <row r="97" spans="1:5" x14ac:dyDescent="0.25">
      <c r="A97" s="12" t="s">
        <v>96</v>
      </c>
      <c r="B97" s="13">
        <v>45894</v>
      </c>
      <c r="C97" s="12" t="s">
        <v>1046</v>
      </c>
      <c r="D97" s="12">
        <v>155</v>
      </c>
      <c r="E97" s="12" t="s">
        <v>1230</v>
      </c>
    </row>
    <row r="98" spans="1:5" x14ac:dyDescent="0.25">
      <c r="A98" s="12" t="s">
        <v>97</v>
      </c>
      <c r="B98" s="13">
        <v>45894</v>
      </c>
      <c r="C98" s="12" t="s">
        <v>1101</v>
      </c>
      <c r="D98" s="12">
        <v>931</v>
      </c>
      <c r="E98" s="12" t="s">
        <v>1146</v>
      </c>
    </row>
    <row r="99" spans="1:5" x14ac:dyDescent="0.25">
      <c r="A99" s="12" t="s">
        <v>98</v>
      </c>
      <c r="B99" s="13">
        <v>45894</v>
      </c>
      <c r="C99" s="12" t="s">
        <v>1058</v>
      </c>
      <c r="D99" s="12">
        <v>775</v>
      </c>
      <c r="E99" s="12" t="s">
        <v>1170</v>
      </c>
    </row>
    <row r="100" spans="1:5" x14ac:dyDescent="0.25">
      <c r="A100" s="12" t="s">
        <v>99</v>
      </c>
      <c r="B100" s="13">
        <v>45894</v>
      </c>
      <c r="C100" s="12" t="s">
        <v>1078</v>
      </c>
      <c r="D100" s="12">
        <v>808</v>
      </c>
      <c r="E100" s="12" t="s">
        <v>1205</v>
      </c>
    </row>
    <row r="101" spans="1:5" x14ac:dyDescent="0.25">
      <c r="A101" s="12" t="s">
        <v>100</v>
      </c>
      <c r="B101" s="13">
        <v>45894</v>
      </c>
      <c r="C101" s="12" t="s">
        <v>1093</v>
      </c>
      <c r="D101" s="12">
        <v>614</v>
      </c>
      <c r="E101" s="12" t="s">
        <v>1163</v>
      </c>
    </row>
    <row r="102" spans="1:5" x14ac:dyDescent="0.25">
      <c r="A102" s="12" t="s">
        <v>101</v>
      </c>
      <c r="B102" s="13">
        <v>45894</v>
      </c>
      <c r="C102" s="12" t="s">
        <v>1048</v>
      </c>
      <c r="D102" s="12">
        <v>441</v>
      </c>
      <c r="E102" s="12" t="s">
        <v>1205</v>
      </c>
    </row>
    <row r="103" spans="1:5" x14ac:dyDescent="0.25">
      <c r="A103" s="12" t="s">
        <v>102</v>
      </c>
      <c r="B103" s="13">
        <v>45895</v>
      </c>
      <c r="C103" s="12" t="s">
        <v>1068</v>
      </c>
      <c r="D103" s="12">
        <v>798</v>
      </c>
      <c r="E103" s="12" t="s">
        <v>1179</v>
      </c>
    </row>
    <row r="104" spans="1:5" x14ac:dyDescent="0.25">
      <c r="A104" s="12" t="s">
        <v>103</v>
      </c>
      <c r="B104" s="13">
        <v>45895</v>
      </c>
      <c r="C104" s="12" t="s">
        <v>1086</v>
      </c>
      <c r="D104" s="12">
        <v>379</v>
      </c>
      <c r="E104" s="12" t="s">
        <v>1199</v>
      </c>
    </row>
    <row r="105" spans="1:5" x14ac:dyDescent="0.25">
      <c r="A105" s="12" t="s">
        <v>104</v>
      </c>
      <c r="B105" s="13">
        <v>45895</v>
      </c>
      <c r="C105" s="12" t="s">
        <v>1105</v>
      </c>
      <c r="D105" s="12">
        <v>128</v>
      </c>
      <c r="E105" s="12" t="s">
        <v>1148</v>
      </c>
    </row>
    <row r="106" spans="1:5" x14ac:dyDescent="0.25">
      <c r="A106" s="12" t="s">
        <v>105</v>
      </c>
      <c r="B106" s="13">
        <v>45896</v>
      </c>
      <c r="C106" s="12" t="s">
        <v>1103</v>
      </c>
      <c r="D106" s="12">
        <v>314</v>
      </c>
      <c r="E106" s="12" t="s">
        <v>1187</v>
      </c>
    </row>
    <row r="107" spans="1:5" x14ac:dyDescent="0.25">
      <c r="A107" s="12" t="s">
        <v>106</v>
      </c>
      <c r="B107" s="13">
        <v>45896</v>
      </c>
      <c r="C107" s="12" t="s">
        <v>1103</v>
      </c>
      <c r="D107" s="12">
        <v>667</v>
      </c>
      <c r="E107" s="12" t="s">
        <v>1182</v>
      </c>
    </row>
    <row r="108" spans="1:5" x14ac:dyDescent="0.25">
      <c r="A108" s="12" t="s">
        <v>107</v>
      </c>
      <c r="B108" s="13">
        <v>45896</v>
      </c>
      <c r="C108" s="12" t="s">
        <v>1052</v>
      </c>
      <c r="D108" s="12">
        <v>492</v>
      </c>
      <c r="E108" s="12" t="s">
        <v>1197</v>
      </c>
    </row>
    <row r="109" spans="1:5" x14ac:dyDescent="0.25">
      <c r="A109" s="12" t="s">
        <v>108</v>
      </c>
      <c r="B109" s="13">
        <v>45896</v>
      </c>
      <c r="C109" s="12" t="s">
        <v>1078</v>
      </c>
      <c r="D109" s="12">
        <v>449</v>
      </c>
      <c r="E109" s="12" t="s">
        <v>1203</v>
      </c>
    </row>
    <row r="110" spans="1:5" x14ac:dyDescent="0.25">
      <c r="A110" s="12" t="s">
        <v>109</v>
      </c>
      <c r="B110" s="13">
        <v>45897</v>
      </c>
      <c r="C110" s="12" t="s">
        <v>1101</v>
      </c>
      <c r="D110" s="12">
        <v>944</v>
      </c>
      <c r="E110" s="12" t="s">
        <v>1230</v>
      </c>
    </row>
    <row r="111" spans="1:5" x14ac:dyDescent="0.25">
      <c r="A111" s="12" t="s">
        <v>110</v>
      </c>
      <c r="B111" s="13">
        <v>45897</v>
      </c>
      <c r="C111" s="12" t="s">
        <v>1098</v>
      </c>
      <c r="D111" s="12">
        <v>444</v>
      </c>
      <c r="E111" s="12" t="s">
        <v>1168</v>
      </c>
    </row>
    <row r="112" spans="1:5" x14ac:dyDescent="0.25">
      <c r="A112" s="12" t="s">
        <v>111</v>
      </c>
      <c r="B112" s="13">
        <v>45898</v>
      </c>
      <c r="C112" s="12" t="s">
        <v>1073</v>
      </c>
      <c r="D112" s="12">
        <v>855</v>
      </c>
      <c r="E112" s="12" t="s">
        <v>1153</v>
      </c>
    </row>
    <row r="113" spans="1:5" x14ac:dyDescent="0.25">
      <c r="A113" s="12" t="s">
        <v>112</v>
      </c>
      <c r="B113" s="13">
        <v>45898</v>
      </c>
      <c r="C113" s="12" t="s">
        <v>1093</v>
      </c>
      <c r="D113" s="12">
        <v>547</v>
      </c>
      <c r="E113" s="12" t="s">
        <v>1225</v>
      </c>
    </row>
    <row r="114" spans="1:5" x14ac:dyDescent="0.25">
      <c r="A114" s="12" t="s">
        <v>113</v>
      </c>
      <c r="B114" s="13">
        <v>45898</v>
      </c>
      <c r="C114" s="12" t="s">
        <v>1049</v>
      </c>
      <c r="D114" s="12">
        <v>802</v>
      </c>
      <c r="E114" s="12" t="s">
        <v>1203</v>
      </c>
    </row>
    <row r="115" spans="1:5" x14ac:dyDescent="0.25">
      <c r="A115" s="12" t="s">
        <v>114</v>
      </c>
      <c r="B115" s="13">
        <v>45898</v>
      </c>
      <c r="C115" s="12" t="s">
        <v>1031</v>
      </c>
      <c r="D115" s="12">
        <v>100</v>
      </c>
      <c r="E115" s="12" t="s">
        <v>1172</v>
      </c>
    </row>
    <row r="116" spans="1:5" x14ac:dyDescent="0.25">
      <c r="A116" s="12" t="s">
        <v>115</v>
      </c>
      <c r="B116" s="13">
        <v>45899</v>
      </c>
      <c r="C116" s="12" t="s">
        <v>1073</v>
      </c>
      <c r="D116" s="12">
        <v>213</v>
      </c>
      <c r="E116" s="12" t="s">
        <v>1205</v>
      </c>
    </row>
    <row r="117" spans="1:5" x14ac:dyDescent="0.25">
      <c r="A117" s="12" t="s">
        <v>116</v>
      </c>
      <c r="B117" s="13">
        <v>45899</v>
      </c>
      <c r="C117" s="12" t="s">
        <v>1031</v>
      </c>
      <c r="D117" s="12">
        <v>194</v>
      </c>
      <c r="E117" s="12" t="s">
        <v>1143</v>
      </c>
    </row>
    <row r="118" spans="1:5" x14ac:dyDescent="0.25">
      <c r="A118" s="12" t="s">
        <v>117</v>
      </c>
      <c r="B118" s="13">
        <v>45900</v>
      </c>
      <c r="C118" s="12" t="s">
        <v>1068</v>
      </c>
      <c r="D118" s="12">
        <v>195</v>
      </c>
      <c r="E118" s="12" t="s">
        <v>1190</v>
      </c>
    </row>
    <row r="119" spans="1:5" x14ac:dyDescent="0.25">
      <c r="A119" s="12" t="s">
        <v>118</v>
      </c>
      <c r="B119" s="13">
        <v>45901</v>
      </c>
      <c r="C119" s="12" t="s">
        <v>1066</v>
      </c>
      <c r="D119" s="12">
        <v>946</v>
      </c>
      <c r="E119" s="12" t="s">
        <v>1134</v>
      </c>
    </row>
    <row r="120" spans="1:5" x14ac:dyDescent="0.25">
      <c r="A120" s="12" t="s">
        <v>119</v>
      </c>
      <c r="B120" s="13">
        <v>45901</v>
      </c>
      <c r="C120" s="12" t="s">
        <v>1046</v>
      </c>
      <c r="D120" s="12">
        <v>358</v>
      </c>
      <c r="E120" s="12" t="s">
        <v>1201</v>
      </c>
    </row>
    <row r="121" spans="1:5" x14ac:dyDescent="0.25">
      <c r="A121" s="12" t="s">
        <v>120</v>
      </c>
      <c r="B121" s="13">
        <v>45901</v>
      </c>
      <c r="C121" s="12" t="s">
        <v>1048</v>
      </c>
      <c r="D121" s="12">
        <v>882</v>
      </c>
      <c r="E121" s="12" t="s">
        <v>1204</v>
      </c>
    </row>
    <row r="122" spans="1:5" x14ac:dyDescent="0.25">
      <c r="A122" s="12" t="s">
        <v>121</v>
      </c>
      <c r="B122" s="13">
        <v>45902</v>
      </c>
      <c r="C122" s="12" t="s">
        <v>1096</v>
      </c>
      <c r="D122" s="12">
        <v>690</v>
      </c>
      <c r="E122" s="12" t="s">
        <v>1222</v>
      </c>
    </row>
    <row r="123" spans="1:5" x14ac:dyDescent="0.25">
      <c r="A123" s="12" t="s">
        <v>122</v>
      </c>
      <c r="B123" s="13">
        <v>45902</v>
      </c>
      <c r="C123" s="12" t="s">
        <v>1052</v>
      </c>
      <c r="D123" s="12">
        <v>322</v>
      </c>
      <c r="E123" s="12" t="s">
        <v>1206</v>
      </c>
    </row>
    <row r="124" spans="1:5" x14ac:dyDescent="0.25">
      <c r="A124" s="12" t="s">
        <v>123</v>
      </c>
      <c r="B124" s="13">
        <v>45902</v>
      </c>
      <c r="C124" s="12" t="s">
        <v>1052</v>
      </c>
      <c r="D124" s="12">
        <v>285</v>
      </c>
      <c r="E124" s="12" t="s">
        <v>1229</v>
      </c>
    </row>
    <row r="125" spans="1:5" x14ac:dyDescent="0.25">
      <c r="A125" s="12" t="s">
        <v>124</v>
      </c>
      <c r="B125" s="13">
        <v>45903</v>
      </c>
      <c r="C125" s="12" t="s">
        <v>1103</v>
      </c>
      <c r="D125" s="12">
        <v>138</v>
      </c>
      <c r="E125" s="12" t="s">
        <v>1166</v>
      </c>
    </row>
    <row r="126" spans="1:5" x14ac:dyDescent="0.25">
      <c r="A126" s="12" t="s">
        <v>125</v>
      </c>
      <c r="B126" s="13">
        <v>45903</v>
      </c>
      <c r="C126" s="12" t="s">
        <v>1095</v>
      </c>
      <c r="D126" s="12">
        <v>176</v>
      </c>
      <c r="E126" s="12" t="s">
        <v>1223</v>
      </c>
    </row>
    <row r="127" spans="1:5" x14ac:dyDescent="0.25">
      <c r="A127" s="12" t="s">
        <v>126</v>
      </c>
      <c r="B127" s="13">
        <v>45904</v>
      </c>
      <c r="C127" s="12" t="s">
        <v>1039</v>
      </c>
      <c r="D127" s="12">
        <v>650</v>
      </c>
      <c r="E127" s="12" t="s">
        <v>1140</v>
      </c>
    </row>
    <row r="128" spans="1:5" x14ac:dyDescent="0.25">
      <c r="A128" s="12" t="s">
        <v>127</v>
      </c>
      <c r="B128" s="13">
        <v>45904</v>
      </c>
      <c r="C128" s="12" t="s">
        <v>1045</v>
      </c>
      <c r="D128" s="12">
        <v>670</v>
      </c>
      <c r="E128" s="12" t="s">
        <v>1201</v>
      </c>
    </row>
    <row r="129" spans="1:5" x14ac:dyDescent="0.25">
      <c r="A129" s="12" t="s">
        <v>128</v>
      </c>
      <c r="B129" s="13">
        <v>45904</v>
      </c>
      <c r="C129" s="12" t="s">
        <v>1078</v>
      </c>
      <c r="D129" s="12">
        <v>884</v>
      </c>
      <c r="E129" s="12" t="s">
        <v>1155</v>
      </c>
    </row>
    <row r="130" spans="1:5" x14ac:dyDescent="0.25">
      <c r="A130" s="12" t="s">
        <v>129</v>
      </c>
      <c r="B130" s="13">
        <v>45904</v>
      </c>
      <c r="C130" s="12" t="s">
        <v>1058</v>
      </c>
      <c r="D130" s="12">
        <v>833</v>
      </c>
      <c r="E130" s="12" t="s">
        <v>1163</v>
      </c>
    </row>
    <row r="131" spans="1:5" x14ac:dyDescent="0.25">
      <c r="A131" s="12" t="s">
        <v>130</v>
      </c>
      <c r="B131" s="13">
        <v>45904</v>
      </c>
      <c r="C131" s="12" t="s">
        <v>1041</v>
      </c>
      <c r="D131" s="12">
        <v>112</v>
      </c>
      <c r="E131" s="12" t="s">
        <v>1196</v>
      </c>
    </row>
    <row r="132" spans="1:5" x14ac:dyDescent="0.25">
      <c r="A132" s="12" t="s">
        <v>131</v>
      </c>
      <c r="B132" s="13">
        <v>45905</v>
      </c>
      <c r="C132" s="12" t="s">
        <v>1068</v>
      </c>
      <c r="D132" s="12">
        <v>452</v>
      </c>
      <c r="E132" s="12" t="s">
        <v>1162</v>
      </c>
    </row>
    <row r="133" spans="1:5" x14ac:dyDescent="0.25">
      <c r="A133" s="12" t="s">
        <v>132</v>
      </c>
      <c r="B133" s="13">
        <v>45905</v>
      </c>
      <c r="C133" s="12" t="s">
        <v>1082</v>
      </c>
      <c r="D133" s="12">
        <v>370</v>
      </c>
      <c r="E133" s="12" t="s">
        <v>1160</v>
      </c>
    </row>
    <row r="134" spans="1:5" x14ac:dyDescent="0.25">
      <c r="A134" s="12" t="s">
        <v>133</v>
      </c>
      <c r="B134" s="13">
        <v>45906</v>
      </c>
      <c r="C134" s="12" t="s">
        <v>1039</v>
      </c>
      <c r="D134" s="12">
        <v>437</v>
      </c>
      <c r="E134" s="12" t="s">
        <v>1177</v>
      </c>
    </row>
    <row r="135" spans="1:5" x14ac:dyDescent="0.25">
      <c r="A135" s="12" t="s">
        <v>134</v>
      </c>
      <c r="B135" s="13">
        <v>45906</v>
      </c>
      <c r="C135" s="12" t="s">
        <v>1045</v>
      </c>
      <c r="D135" s="12">
        <v>110</v>
      </c>
      <c r="E135" s="12" t="s">
        <v>1223</v>
      </c>
    </row>
    <row r="136" spans="1:5" x14ac:dyDescent="0.25">
      <c r="A136" s="12" t="s">
        <v>135</v>
      </c>
      <c r="B136" s="13">
        <v>45906</v>
      </c>
      <c r="C136" s="12" t="s">
        <v>1058</v>
      </c>
      <c r="D136" s="12">
        <v>495</v>
      </c>
      <c r="E136" s="12" t="s">
        <v>1214</v>
      </c>
    </row>
    <row r="137" spans="1:5" x14ac:dyDescent="0.25">
      <c r="A137" s="12" t="s">
        <v>136</v>
      </c>
      <c r="B137" s="13">
        <v>45907</v>
      </c>
      <c r="C137" s="12" t="s">
        <v>1093</v>
      </c>
      <c r="D137" s="12">
        <v>333</v>
      </c>
      <c r="E137" s="12" t="s">
        <v>1185</v>
      </c>
    </row>
    <row r="138" spans="1:5" x14ac:dyDescent="0.25">
      <c r="A138" s="12" t="s">
        <v>137</v>
      </c>
      <c r="B138" s="13">
        <v>45907</v>
      </c>
      <c r="C138" s="12" t="s">
        <v>1096</v>
      </c>
      <c r="D138" s="12">
        <v>623</v>
      </c>
      <c r="E138" s="12" t="s">
        <v>1138</v>
      </c>
    </row>
    <row r="139" spans="1:5" x14ac:dyDescent="0.25">
      <c r="A139" s="12" t="s">
        <v>138</v>
      </c>
      <c r="B139" s="13">
        <v>45907</v>
      </c>
      <c r="C139" s="12" t="s">
        <v>1078</v>
      </c>
      <c r="D139" s="12">
        <v>666</v>
      </c>
      <c r="E139" s="12" t="s">
        <v>1135</v>
      </c>
    </row>
    <row r="140" spans="1:5" x14ac:dyDescent="0.25">
      <c r="A140" s="12" t="s">
        <v>139</v>
      </c>
      <c r="B140" s="13">
        <v>45907</v>
      </c>
      <c r="C140" s="12" t="s">
        <v>1063</v>
      </c>
      <c r="D140" s="12">
        <v>754</v>
      </c>
      <c r="E140" s="12" t="s">
        <v>1229</v>
      </c>
    </row>
    <row r="141" spans="1:5" x14ac:dyDescent="0.25">
      <c r="A141" s="12" t="s">
        <v>140</v>
      </c>
      <c r="B141" s="13">
        <v>45908</v>
      </c>
      <c r="C141" s="12" t="s">
        <v>1061</v>
      </c>
      <c r="D141" s="12">
        <v>459</v>
      </c>
      <c r="E141" s="12" t="s">
        <v>1135</v>
      </c>
    </row>
    <row r="142" spans="1:5" x14ac:dyDescent="0.25">
      <c r="A142" s="12" t="s">
        <v>141</v>
      </c>
      <c r="B142" s="13">
        <v>45909</v>
      </c>
      <c r="C142" s="12" t="s">
        <v>1098</v>
      </c>
      <c r="D142" s="12">
        <v>867</v>
      </c>
      <c r="E142" s="12" t="s">
        <v>1145</v>
      </c>
    </row>
    <row r="143" spans="1:5" x14ac:dyDescent="0.25">
      <c r="A143" s="12" t="s">
        <v>142</v>
      </c>
      <c r="B143" s="13">
        <v>45909</v>
      </c>
      <c r="C143" s="12" t="s">
        <v>1093</v>
      </c>
      <c r="D143" s="12">
        <v>402</v>
      </c>
      <c r="E143" s="12" t="s">
        <v>1201</v>
      </c>
    </row>
    <row r="144" spans="1:5" x14ac:dyDescent="0.25">
      <c r="A144" s="12" t="s">
        <v>143</v>
      </c>
      <c r="B144" s="13">
        <v>45910</v>
      </c>
      <c r="C144" s="12" t="s">
        <v>1041</v>
      </c>
      <c r="D144" s="12">
        <v>161</v>
      </c>
      <c r="E144" s="12" t="s">
        <v>1184</v>
      </c>
    </row>
    <row r="145" spans="1:5" x14ac:dyDescent="0.25">
      <c r="A145" s="12" t="s">
        <v>144</v>
      </c>
      <c r="B145" s="13">
        <v>45910</v>
      </c>
      <c r="C145" s="12" t="s">
        <v>1034</v>
      </c>
      <c r="D145" s="12">
        <v>584</v>
      </c>
      <c r="E145" s="12" t="s">
        <v>1223</v>
      </c>
    </row>
    <row r="146" spans="1:5" x14ac:dyDescent="0.25">
      <c r="A146" s="12" t="s">
        <v>145</v>
      </c>
      <c r="B146" s="13">
        <v>45910</v>
      </c>
      <c r="C146" s="12" t="s">
        <v>1052</v>
      </c>
      <c r="D146" s="12">
        <v>648</v>
      </c>
      <c r="E146" s="12" t="s">
        <v>1152</v>
      </c>
    </row>
    <row r="147" spans="1:5" x14ac:dyDescent="0.25">
      <c r="A147" s="12" t="s">
        <v>146</v>
      </c>
      <c r="B147" s="13">
        <v>45911</v>
      </c>
      <c r="C147" s="12" t="s">
        <v>1070</v>
      </c>
      <c r="D147" s="12">
        <v>868</v>
      </c>
      <c r="E147" s="12" t="s">
        <v>1186</v>
      </c>
    </row>
    <row r="148" spans="1:5" x14ac:dyDescent="0.25">
      <c r="A148" s="12" t="s">
        <v>147</v>
      </c>
      <c r="B148" s="13">
        <v>45912</v>
      </c>
      <c r="C148" s="12" t="s">
        <v>1034</v>
      </c>
      <c r="D148" s="12">
        <v>798</v>
      </c>
      <c r="E148" s="12" t="s">
        <v>1178</v>
      </c>
    </row>
    <row r="149" spans="1:5" x14ac:dyDescent="0.25">
      <c r="A149" s="12" t="s">
        <v>148</v>
      </c>
      <c r="B149" s="13">
        <v>45912</v>
      </c>
      <c r="C149" s="12" t="s">
        <v>1082</v>
      </c>
      <c r="D149" s="12">
        <v>249</v>
      </c>
      <c r="E149" s="12" t="s">
        <v>1172</v>
      </c>
    </row>
    <row r="150" spans="1:5" x14ac:dyDescent="0.25">
      <c r="A150" s="12" t="s">
        <v>149</v>
      </c>
      <c r="B150" s="13">
        <v>45912</v>
      </c>
      <c r="C150" s="12" t="s">
        <v>1105</v>
      </c>
      <c r="D150" s="12">
        <v>534</v>
      </c>
      <c r="E150" s="12" t="s">
        <v>1193</v>
      </c>
    </row>
    <row r="151" spans="1:5" x14ac:dyDescent="0.25">
      <c r="A151" s="12" t="s">
        <v>150</v>
      </c>
      <c r="B151" s="13">
        <v>45912</v>
      </c>
      <c r="C151" s="12" t="s">
        <v>1095</v>
      </c>
      <c r="D151" s="12">
        <v>468</v>
      </c>
      <c r="E151" s="12" t="s">
        <v>1133</v>
      </c>
    </row>
    <row r="152" spans="1:5" x14ac:dyDescent="0.25">
      <c r="A152" s="12" t="s">
        <v>151</v>
      </c>
      <c r="B152" s="13">
        <v>45913</v>
      </c>
      <c r="C152" s="12" t="s">
        <v>1069</v>
      </c>
      <c r="D152" s="12">
        <v>437</v>
      </c>
      <c r="E152" s="12" t="s">
        <v>1221</v>
      </c>
    </row>
    <row r="153" spans="1:5" x14ac:dyDescent="0.25">
      <c r="A153" s="12" t="s">
        <v>152</v>
      </c>
      <c r="B153" s="13">
        <v>45913</v>
      </c>
      <c r="C153" s="12" t="s">
        <v>1080</v>
      </c>
      <c r="D153" s="12">
        <v>341</v>
      </c>
      <c r="E153" s="12" t="s">
        <v>1138</v>
      </c>
    </row>
    <row r="154" spans="1:5" x14ac:dyDescent="0.25">
      <c r="A154" s="12" t="s">
        <v>153</v>
      </c>
      <c r="B154" s="13">
        <v>45913</v>
      </c>
      <c r="C154" s="12" t="s">
        <v>1101</v>
      </c>
      <c r="D154" s="12">
        <v>420</v>
      </c>
      <c r="E154" s="12" t="s">
        <v>1162</v>
      </c>
    </row>
    <row r="155" spans="1:5" x14ac:dyDescent="0.25">
      <c r="A155" s="12" t="s">
        <v>154</v>
      </c>
      <c r="B155" s="13">
        <v>45913</v>
      </c>
      <c r="C155" s="12" t="s">
        <v>1069</v>
      </c>
      <c r="D155" s="12">
        <v>671</v>
      </c>
      <c r="E155" s="12" t="s">
        <v>1223</v>
      </c>
    </row>
    <row r="156" spans="1:5" x14ac:dyDescent="0.25">
      <c r="A156" s="12" t="s">
        <v>155</v>
      </c>
      <c r="B156" s="13">
        <v>45914</v>
      </c>
      <c r="C156" s="12" t="s">
        <v>1061</v>
      </c>
      <c r="D156" s="12">
        <v>211</v>
      </c>
      <c r="E156" s="12" t="s">
        <v>1226</v>
      </c>
    </row>
    <row r="157" spans="1:5" x14ac:dyDescent="0.25">
      <c r="A157" s="12" t="s">
        <v>156</v>
      </c>
      <c r="B157" s="13">
        <v>45914</v>
      </c>
      <c r="C157" s="12" t="s">
        <v>1075</v>
      </c>
      <c r="D157" s="12">
        <v>640</v>
      </c>
      <c r="E157" s="12" t="s">
        <v>1134</v>
      </c>
    </row>
    <row r="158" spans="1:5" x14ac:dyDescent="0.25">
      <c r="A158" s="12" t="s">
        <v>157</v>
      </c>
      <c r="B158" s="13">
        <v>45914</v>
      </c>
      <c r="C158" s="12" t="s">
        <v>1075</v>
      </c>
      <c r="D158" s="12">
        <v>467</v>
      </c>
      <c r="E158" s="12" t="s">
        <v>1196</v>
      </c>
    </row>
    <row r="159" spans="1:5" x14ac:dyDescent="0.25">
      <c r="A159" s="12" t="s">
        <v>158</v>
      </c>
      <c r="B159" s="13">
        <v>45914</v>
      </c>
      <c r="C159" s="12" t="s">
        <v>1084</v>
      </c>
      <c r="D159" s="12">
        <v>651</v>
      </c>
      <c r="E159" s="12" t="s">
        <v>1164</v>
      </c>
    </row>
    <row r="160" spans="1:5" x14ac:dyDescent="0.25">
      <c r="A160" s="12" t="s">
        <v>159</v>
      </c>
      <c r="B160" s="13">
        <v>45915</v>
      </c>
      <c r="C160" s="12" t="s">
        <v>1068</v>
      </c>
      <c r="D160" s="12">
        <v>948</v>
      </c>
      <c r="E160" s="12" t="s">
        <v>1203</v>
      </c>
    </row>
    <row r="161" spans="1:5" x14ac:dyDescent="0.25">
      <c r="A161" s="12" t="s">
        <v>160</v>
      </c>
      <c r="B161" s="13">
        <v>45915</v>
      </c>
      <c r="C161" s="12" t="s">
        <v>1092</v>
      </c>
      <c r="D161" s="12">
        <v>345</v>
      </c>
      <c r="E161" s="12" t="s">
        <v>1152</v>
      </c>
    </row>
    <row r="162" spans="1:5" x14ac:dyDescent="0.25">
      <c r="A162" s="12" t="s">
        <v>161</v>
      </c>
      <c r="B162" s="13">
        <v>45916</v>
      </c>
      <c r="C162" s="12" t="s">
        <v>1042</v>
      </c>
      <c r="D162" s="12">
        <v>973</v>
      </c>
      <c r="E162" s="12" t="s">
        <v>1140</v>
      </c>
    </row>
    <row r="163" spans="1:5" x14ac:dyDescent="0.25">
      <c r="A163" s="12" t="s">
        <v>162</v>
      </c>
      <c r="B163" s="13">
        <v>45916</v>
      </c>
      <c r="C163" s="12" t="s">
        <v>1045</v>
      </c>
      <c r="D163" s="12">
        <v>909</v>
      </c>
      <c r="E163" s="12" t="s">
        <v>1148</v>
      </c>
    </row>
    <row r="164" spans="1:5" x14ac:dyDescent="0.25">
      <c r="A164" s="12" t="s">
        <v>163</v>
      </c>
      <c r="B164" s="13">
        <v>45916</v>
      </c>
      <c r="C164" s="12" t="s">
        <v>1088</v>
      </c>
      <c r="D164" s="12">
        <v>100</v>
      </c>
      <c r="E164" s="12" t="s">
        <v>1154</v>
      </c>
    </row>
    <row r="165" spans="1:5" x14ac:dyDescent="0.25">
      <c r="A165" s="12" t="s">
        <v>164</v>
      </c>
      <c r="B165" s="13">
        <v>45916</v>
      </c>
      <c r="C165" s="12" t="s">
        <v>1088</v>
      </c>
      <c r="D165" s="12">
        <v>211</v>
      </c>
      <c r="E165" s="12" t="s">
        <v>1182</v>
      </c>
    </row>
    <row r="166" spans="1:5" x14ac:dyDescent="0.25">
      <c r="A166" s="12" t="s">
        <v>165</v>
      </c>
      <c r="B166" s="13">
        <v>45916</v>
      </c>
      <c r="C166" s="12" t="s">
        <v>1055</v>
      </c>
      <c r="D166" s="12">
        <v>972</v>
      </c>
      <c r="E166" s="12" t="s">
        <v>1167</v>
      </c>
    </row>
    <row r="167" spans="1:5" x14ac:dyDescent="0.25">
      <c r="A167" s="12" t="s">
        <v>166</v>
      </c>
      <c r="B167" s="13">
        <v>45916</v>
      </c>
      <c r="C167" s="12" t="s">
        <v>1082</v>
      </c>
      <c r="D167" s="12">
        <v>326</v>
      </c>
      <c r="E167" s="12" t="s">
        <v>1142</v>
      </c>
    </row>
    <row r="168" spans="1:5" x14ac:dyDescent="0.25">
      <c r="A168" s="12" t="s">
        <v>167</v>
      </c>
      <c r="B168" s="13">
        <v>45917</v>
      </c>
      <c r="C168" s="12" t="s">
        <v>1063</v>
      </c>
      <c r="D168" s="12">
        <v>110</v>
      </c>
      <c r="E168" s="12" t="s">
        <v>1189</v>
      </c>
    </row>
    <row r="169" spans="1:5" x14ac:dyDescent="0.25">
      <c r="A169" s="12" t="s">
        <v>168</v>
      </c>
      <c r="B169" s="13">
        <v>45917</v>
      </c>
      <c r="C169" s="12" t="s">
        <v>1075</v>
      </c>
      <c r="D169" s="12">
        <v>268</v>
      </c>
      <c r="E169" s="12" t="s">
        <v>1142</v>
      </c>
    </row>
    <row r="170" spans="1:5" x14ac:dyDescent="0.25">
      <c r="A170" s="12" t="s">
        <v>169</v>
      </c>
      <c r="B170" s="13">
        <v>45918</v>
      </c>
      <c r="C170" s="12" t="s">
        <v>1058</v>
      </c>
      <c r="D170" s="12">
        <v>422</v>
      </c>
      <c r="E170" s="12" t="s">
        <v>1191</v>
      </c>
    </row>
    <row r="171" spans="1:5" x14ac:dyDescent="0.25">
      <c r="A171" s="12" t="s">
        <v>170</v>
      </c>
      <c r="B171" s="13">
        <v>45918</v>
      </c>
      <c r="C171" s="12" t="s">
        <v>1064</v>
      </c>
      <c r="D171" s="12">
        <v>492</v>
      </c>
      <c r="E171" s="12" t="s">
        <v>1228</v>
      </c>
    </row>
    <row r="172" spans="1:5" x14ac:dyDescent="0.25">
      <c r="A172" s="12" t="s">
        <v>171</v>
      </c>
      <c r="B172" s="13">
        <v>45918</v>
      </c>
      <c r="C172" s="12" t="s">
        <v>1048</v>
      </c>
      <c r="D172" s="12">
        <v>776</v>
      </c>
      <c r="E172" s="12" t="s">
        <v>1156</v>
      </c>
    </row>
    <row r="173" spans="1:5" x14ac:dyDescent="0.25">
      <c r="A173" s="12" t="s">
        <v>172</v>
      </c>
      <c r="B173" s="13">
        <v>45918</v>
      </c>
      <c r="C173" s="12" t="s">
        <v>1075</v>
      </c>
      <c r="D173" s="12">
        <v>266</v>
      </c>
      <c r="E173" s="12" t="s">
        <v>1182</v>
      </c>
    </row>
    <row r="174" spans="1:5" x14ac:dyDescent="0.25">
      <c r="A174" s="12" t="s">
        <v>173</v>
      </c>
      <c r="B174" s="13">
        <v>45918</v>
      </c>
      <c r="C174" s="12" t="s">
        <v>1069</v>
      </c>
      <c r="D174" s="12">
        <v>821</v>
      </c>
      <c r="E174" s="12" t="s">
        <v>1195</v>
      </c>
    </row>
    <row r="175" spans="1:5" x14ac:dyDescent="0.25">
      <c r="A175" s="12" t="s">
        <v>174</v>
      </c>
      <c r="B175" s="13">
        <v>45918</v>
      </c>
      <c r="C175" s="12" t="s">
        <v>1073</v>
      </c>
      <c r="D175" s="12">
        <v>472</v>
      </c>
      <c r="E175" s="12" t="s">
        <v>1179</v>
      </c>
    </row>
    <row r="176" spans="1:5" x14ac:dyDescent="0.25">
      <c r="A176" s="12" t="s">
        <v>175</v>
      </c>
      <c r="B176" s="13">
        <v>45919</v>
      </c>
      <c r="C176" s="12" t="s">
        <v>1088</v>
      </c>
      <c r="D176" s="12">
        <v>504</v>
      </c>
      <c r="E176" s="12" t="s">
        <v>1170</v>
      </c>
    </row>
    <row r="177" spans="1:5" x14ac:dyDescent="0.25">
      <c r="A177" s="12" t="s">
        <v>176</v>
      </c>
      <c r="B177" s="13">
        <v>45919</v>
      </c>
      <c r="C177" s="12" t="s">
        <v>1090</v>
      </c>
      <c r="D177" s="12">
        <v>966</v>
      </c>
      <c r="E177" s="12" t="s">
        <v>1191</v>
      </c>
    </row>
    <row r="178" spans="1:5" x14ac:dyDescent="0.25">
      <c r="A178" s="12" t="s">
        <v>177</v>
      </c>
      <c r="B178" s="13">
        <v>45920</v>
      </c>
      <c r="C178" s="12" t="s">
        <v>1042</v>
      </c>
      <c r="D178" s="12">
        <v>414</v>
      </c>
      <c r="E178" s="12" t="s">
        <v>1204</v>
      </c>
    </row>
    <row r="179" spans="1:5" x14ac:dyDescent="0.25">
      <c r="A179" s="12" t="s">
        <v>178</v>
      </c>
      <c r="B179" s="13">
        <v>45920</v>
      </c>
      <c r="C179" s="12" t="s">
        <v>1048</v>
      </c>
      <c r="D179" s="12">
        <v>861</v>
      </c>
      <c r="E179" s="12" t="s">
        <v>1200</v>
      </c>
    </row>
    <row r="180" spans="1:5" x14ac:dyDescent="0.25">
      <c r="A180" s="12" t="s">
        <v>179</v>
      </c>
      <c r="B180" s="13">
        <v>45920</v>
      </c>
      <c r="C180" s="12" t="s">
        <v>1082</v>
      </c>
      <c r="D180" s="12">
        <v>701</v>
      </c>
      <c r="E180" s="12" t="s">
        <v>1146</v>
      </c>
    </row>
    <row r="181" spans="1:5" x14ac:dyDescent="0.25">
      <c r="A181" s="12" t="s">
        <v>180</v>
      </c>
      <c r="B181" s="13">
        <v>45920</v>
      </c>
      <c r="C181" s="12" t="s">
        <v>1075</v>
      </c>
      <c r="D181" s="12">
        <v>270</v>
      </c>
      <c r="E181" s="12" t="s">
        <v>1183</v>
      </c>
    </row>
    <row r="182" spans="1:5" x14ac:dyDescent="0.25">
      <c r="A182" s="12" t="s">
        <v>181</v>
      </c>
      <c r="B182" s="13">
        <v>45920</v>
      </c>
      <c r="C182" s="12" t="s">
        <v>1039</v>
      </c>
      <c r="D182" s="12">
        <v>605</v>
      </c>
      <c r="E182" s="12" t="s">
        <v>1208</v>
      </c>
    </row>
    <row r="183" spans="1:5" x14ac:dyDescent="0.25">
      <c r="A183" s="12" t="s">
        <v>182</v>
      </c>
      <c r="B183" s="13">
        <v>45921</v>
      </c>
      <c r="C183" s="12" t="s">
        <v>1069</v>
      </c>
      <c r="D183" s="12">
        <v>656</v>
      </c>
      <c r="E183" s="12" t="s">
        <v>1204</v>
      </c>
    </row>
    <row r="184" spans="1:5" x14ac:dyDescent="0.25">
      <c r="A184" s="12" t="s">
        <v>183</v>
      </c>
      <c r="B184" s="13">
        <v>45922</v>
      </c>
      <c r="C184" s="12" t="s">
        <v>1045</v>
      </c>
      <c r="D184" s="12">
        <v>743</v>
      </c>
      <c r="E184" s="12" t="s">
        <v>1151</v>
      </c>
    </row>
    <row r="185" spans="1:5" x14ac:dyDescent="0.25">
      <c r="A185" s="12" t="s">
        <v>184</v>
      </c>
      <c r="B185" s="13">
        <v>45922</v>
      </c>
      <c r="C185" s="12" t="s">
        <v>1049</v>
      </c>
      <c r="D185" s="12">
        <v>772</v>
      </c>
      <c r="E185" s="12" t="s">
        <v>1162</v>
      </c>
    </row>
    <row r="186" spans="1:5" x14ac:dyDescent="0.25">
      <c r="A186" s="12" t="s">
        <v>185</v>
      </c>
      <c r="B186" s="13">
        <v>45922</v>
      </c>
      <c r="C186" s="12" t="s">
        <v>1042</v>
      </c>
      <c r="D186" s="12">
        <v>863</v>
      </c>
      <c r="E186" s="12" t="s">
        <v>1157</v>
      </c>
    </row>
    <row r="187" spans="1:5" x14ac:dyDescent="0.25">
      <c r="A187" s="12" t="s">
        <v>186</v>
      </c>
      <c r="B187" s="13">
        <v>45922</v>
      </c>
      <c r="C187" s="12" t="s">
        <v>1039</v>
      </c>
      <c r="D187" s="12">
        <v>645</v>
      </c>
      <c r="E187" s="12" t="s">
        <v>1220</v>
      </c>
    </row>
    <row r="188" spans="1:5" x14ac:dyDescent="0.25">
      <c r="A188" s="12" t="s">
        <v>187</v>
      </c>
      <c r="B188" s="13">
        <v>45923</v>
      </c>
      <c r="C188" s="12" t="s">
        <v>1058</v>
      </c>
      <c r="D188" s="12">
        <v>553</v>
      </c>
      <c r="E188" s="12" t="s">
        <v>1177</v>
      </c>
    </row>
    <row r="189" spans="1:5" x14ac:dyDescent="0.25">
      <c r="A189" s="12" t="s">
        <v>188</v>
      </c>
      <c r="B189" s="13">
        <v>45923</v>
      </c>
      <c r="C189" s="12" t="s">
        <v>1066</v>
      </c>
      <c r="D189" s="12">
        <v>514</v>
      </c>
      <c r="E189" s="12" t="s">
        <v>1154</v>
      </c>
    </row>
    <row r="190" spans="1:5" x14ac:dyDescent="0.25">
      <c r="A190" s="12" t="s">
        <v>189</v>
      </c>
      <c r="B190" s="13">
        <v>45924</v>
      </c>
      <c r="C190" s="12" t="s">
        <v>1086</v>
      </c>
      <c r="D190" s="12">
        <v>324</v>
      </c>
      <c r="E190" s="12" t="s">
        <v>1194</v>
      </c>
    </row>
    <row r="191" spans="1:5" x14ac:dyDescent="0.25">
      <c r="A191" s="12" t="s">
        <v>190</v>
      </c>
      <c r="B191" s="13">
        <v>45924</v>
      </c>
      <c r="C191" s="12" t="s">
        <v>1037</v>
      </c>
      <c r="D191" s="12">
        <v>104</v>
      </c>
      <c r="E191" s="12" t="s">
        <v>1160</v>
      </c>
    </row>
    <row r="192" spans="1:5" x14ac:dyDescent="0.25">
      <c r="A192" s="12" t="s">
        <v>191</v>
      </c>
      <c r="B192" s="13">
        <v>45925</v>
      </c>
      <c r="C192" s="12" t="s">
        <v>1093</v>
      </c>
      <c r="D192" s="12">
        <v>125</v>
      </c>
      <c r="E192" s="12" t="s">
        <v>1190</v>
      </c>
    </row>
    <row r="193" spans="1:5" x14ac:dyDescent="0.25">
      <c r="A193" s="12" t="s">
        <v>192</v>
      </c>
      <c r="B193" s="13">
        <v>45925</v>
      </c>
      <c r="C193" s="12" t="s">
        <v>1047</v>
      </c>
      <c r="D193" s="12">
        <v>652</v>
      </c>
      <c r="E193" s="12" t="s">
        <v>1153</v>
      </c>
    </row>
    <row r="194" spans="1:5" x14ac:dyDescent="0.25">
      <c r="A194" s="12" t="s">
        <v>193</v>
      </c>
      <c r="B194" s="13">
        <v>45925</v>
      </c>
      <c r="C194" s="12" t="s">
        <v>1053</v>
      </c>
      <c r="D194" s="12">
        <v>565</v>
      </c>
      <c r="E194" s="12" t="s">
        <v>1199</v>
      </c>
    </row>
    <row r="195" spans="1:5" x14ac:dyDescent="0.25">
      <c r="A195" s="12" t="s">
        <v>194</v>
      </c>
      <c r="B195" s="13">
        <v>45925</v>
      </c>
      <c r="C195" s="12" t="s">
        <v>1095</v>
      </c>
      <c r="D195" s="12">
        <v>383</v>
      </c>
      <c r="E195" s="12" t="s">
        <v>1169</v>
      </c>
    </row>
    <row r="196" spans="1:5" x14ac:dyDescent="0.25">
      <c r="A196" s="12" t="s">
        <v>195</v>
      </c>
      <c r="B196" s="13">
        <v>45925</v>
      </c>
      <c r="C196" s="12" t="s">
        <v>1084</v>
      </c>
      <c r="D196" s="12">
        <v>311</v>
      </c>
      <c r="E196" s="12" t="s">
        <v>1209</v>
      </c>
    </row>
    <row r="197" spans="1:5" x14ac:dyDescent="0.25">
      <c r="A197" s="12" t="s">
        <v>196</v>
      </c>
      <c r="B197" s="13">
        <v>45925</v>
      </c>
      <c r="C197" s="12" t="s">
        <v>1078</v>
      </c>
      <c r="D197" s="12">
        <v>705</v>
      </c>
      <c r="E197" s="12" t="s">
        <v>1168</v>
      </c>
    </row>
    <row r="198" spans="1:5" x14ac:dyDescent="0.25">
      <c r="A198" s="12" t="s">
        <v>197</v>
      </c>
      <c r="B198" s="13">
        <v>45925</v>
      </c>
      <c r="C198" s="12" t="s">
        <v>1075</v>
      </c>
      <c r="D198" s="12">
        <v>389</v>
      </c>
      <c r="E198" s="12" t="s">
        <v>1195</v>
      </c>
    </row>
    <row r="199" spans="1:5" x14ac:dyDescent="0.25">
      <c r="A199" s="12" t="s">
        <v>198</v>
      </c>
      <c r="B199" s="13">
        <v>45926</v>
      </c>
      <c r="C199" s="12" t="s">
        <v>1064</v>
      </c>
      <c r="D199" s="12">
        <v>128</v>
      </c>
      <c r="E199" s="12" t="s">
        <v>1149</v>
      </c>
    </row>
    <row r="200" spans="1:5" x14ac:dyDescent="0.25">
      <c r="A200" s="12" t="s">
        <v>199</v>
      </c>
      <c r="B200" s="13">
        <v>45926</v>
      </c>
      <c r="C200" s="12" t="s">
        <v>1063</v>
      </c>
      <c r="D200" s="12">
        <v>287</v>
      </c>
      <c r="E200" s="12" t="s">
        <v>1181</v>
      </c>
    </row>
    <row r="201" spans="1:5" x14ac:dyDescent="0.25">
      <c r="A201" s="12" t="s">
        <v>200</v>
      </c>
      <c r="B201" s="13">
        <v>45926</v>
      </c>
      <c r="C201" s="12" t="s">
        <v>1075</v>
      </c>
      <c r="D201" s="12">
        <v>737</v>
      </c>
      <c r="E201" s="12" t="s">
        <v>1195</v>
      </c>
    </row>
    <row r="202" spans="1:5" x14ac:dyDescent="0.25">
      <c r="A202" s="12" t="s">
        <v>201</v>
      </c>
      <c r="B202" s="13">
        <v>45926</v>
      </c>
      <c r="C202" s="12" t="s">
        <v>1037</v>
      </c>
      <c r="D202" s="12">
        <v>619</v>
      </c>
      <c r="E202" s="12" t="s">
        <v>1211</v>
      </c>
    </row>
    <row r="203" spans="1:5" x14ac:dyDescent="0.25">
      <c r="A203" s="12" t="s">
        <v>202</v>
      </c>
      <c r="B203" s="13">
        <v>45927</v>
      </c>
      <c r="C203" s="12" t="s">
        <v>1031</v>
      </c>
      <c r="D203" s="12">
        <v>964</v>
      </c>
      <c r="E203" s="12" t="s">
        <v>1140</v>
      </c>
    </row>
    <row r="204" spans="1:5" x14ac:dyDescent="0.25">
      <c r="A204" s="12" t="s">
        <v>203</v>
      </c>
      <c r="B204" s="13">
        <v>45927</v>
      </c>
      <c r="C204" s="12" t="s">
        <v>1041</v>
      </c>
      <c r="D204" s="12">
        <v>774</v>
      </c>
      <c r="E204" s="12" t="s">
        <v>1193</v>
      </c>
    </row>
    <row r="205" spans="1:5" x14ac:dyDescent="0.25">
      <c r="A205" s="12" t="s">
        <v>204</v>
      </c>
      <c r="B205" s="13">
        <v>45928</v>
      </c>
      <c r="C205" s="12" t="s">
        <v>1075</v>
      </c>
      <c r="D205" s="12">
        <v>434</v>
      </c>
      <c r="E205" s="12" t="s">
        <v>1180</v>
      </c>
    </row>
    <row r="206" spans="1:5" x14ac:dyDescent="0.25">
      <c r="A206" s="12" t="s">
        <v>205</v>
      </c>
      <c r="B206" s="13">
        <v>45928</v>
      </c>
      <c r="C206" s="12" t="s">
        <v>1031</v>
      </c>
      <c r="D206" s="12">
        <v>470</v>
      </c>
      <c r="E206" s="12" t="s">
        <v>1138</v>
      </c>
    </row>
    <row r="207" spans="1:5" x14ac:dyDescent="0.25">
      <c r="A207" s="12" t="s">
        <v>206</v>
      </c>
      <c r="B207" s="13">
        <v>45928</v>
      </c>
      <c r="C207" s="12" t="s">
        <v>1055</v>
      </c>
      <c r="D207" s="12">
        <v>389</v>
      </c>
      <c r="E207" s="12" t="s">
        <v>1158</v>
      </c>
    </row>
    <row r="208" spans="1:5" x14ac:dyDescent="0.25">
      <c r="A208" s="12" t="s">
        <v>207</v>
      </c>
      <c r="B208" s="13">
        <v>45928</v>
      </c>
      <c r="C208" s="12" t="s">
        <v>1095</v>
      </c>
      <c r="D208" s="12">
        <v>626</v>
      </c>
      <c r="E208" s="12" t="s">
        <v>1167</v>
      </c>
    </row>
    <row r="209" spans="1:5" x14ac:dyDescent="0.25">
      <c r="A209" s="12" t="s">
        <v>208</v>
      </c>
      <c r="B209" s="13">
        <v>45928</v>
      </c>
      <c r="C209" s="12" t="s">
        <v>1093</v>
      </c>
      <c r="D209" s="12">
        <v>199</v>
      </c>
      <c r="E209" s="12" t="s">
        <v>1151</v>
      </c>
    </row>
    <row r="210" spans="1:5" x14ac:dyDescent="0.25">
      <c r="A210" s="12" t="s">
        <v>209</v>
      </c>
      <c r="B210" s="13">
        <v>45929</v>
      </c>
      <c r="C210" s="12" t="s">
        <v>1046</v>
      </c>
      <c r="D210" s="12">
        <v>591</v>
      </c>
      <c r="E210" s="12" t="s">
        <v>1142</v>
      </c>
    </row>
    <row r="211" spans="1:5" x14ac:dyDescent="0.25">
      <c r="A211" s="12" t="s">
        <v>210</v>
      </c>
      <c r="B211" s="13">
        <v>45929</v>
      </c>
      <c r="C211" s="12" t="s">
        <v>1096</v>
      </c>
      <c r="D211" s="12">
        <v>518</v>
      </c>
      <c r="E211" s="12" t="s">
        <v>1228</v>
      </c>
    </row>
    <row r="212" spans="1:5" x14ac:dyDescent="0.25">
      <c r="A212" s="12" t="s">
        <v>211</v>
      </c>
      <c r="B212" s="13">
        <v>45929</v>
      </c>
      <c r="C212" s="12" t="s">
        <v>1034</v>
      </c>
      <c r="D212" s="12">
        <v>814</v>
      </c>
      <c r="E212" s="12" t="s">
        <v>1148</v>
      </c>
    </row>
    <row r="213" spans="1:5" x14ac:dyDescent="0.25">
      <c r="A213" s="12" t="s">
        <v>212</v>
      </c>
      <c r="B213" s="13">
        <v>45929</v>
      </c>
      <c r="C213" s="12" t="s">
        <v>1093</v>
      </c>
      <c r="D213" s="12">
        <v>848</v>
      </c>
      <c r="E213" s="12" t="s">
        <v>1138</v>
      </c>
    </row>
    <row r="214" spans="1:5" x14ac:dyDescent="0.25">
      <c r="A214" s="12" t="s">
        <v>213</v>
      </c>
      <c r="B214" s="13">
        <v>45930</v>
      </c>
      <c r="C214" s="12" t="s">
        <v>1088</v>
      </c>
      <c r="D214" s="12">
        <v>777</v>
      </c>
      <c r="E214" s="12" t="s">
        <v>1201</v>
      </c>
    </row>
    <row r="215" spans="1:5" x14ac:dyDescent="0.25">
      <c r="A215" s="12" t="s">
        <v>214</v>
      </c>
      <c r="B215" s="13">
        <v>45930</v>
      </c>
      <c r="C215" s="12" t="s">
        <v>1064</v>
      </c>
      <c r="D215" s="12">
        <v>946</v>
      </c>
      <c r="E215" s="12" t="s">
        <v>1228</v>
      </c>
    </row>
    <row r="216" spans="1:5" x14ac:dyDescent="0.25">
      <c r="A216" s="12" t="s">
        <v>215</v>
      </c>
      <c r="B216" s="13">
        <v>45931</v>
      </c>
      <c r="C216" s="12" t="s">
        <v>1041</v>
      </c>
      <c r="D216" s="12">
        <v>917</v>
      </c>
      <c r="E216" s="12" t="s">
        <v>1133</v>
      </c>
    </row>
    <row r="217" spans="1:5" x14ac:dyDescent="0.25">
      <c r="A217" s="12" t="s">
        <v>216</v>
      </c>
      <c r="B217" s="13">
        <v>45931</v>
      </c>
      <c r="C217" s="12" t="s">
        <v>1068</v>
      </c>
      <c r="D217" s="12">
        <v>843</v>
      </c>
      <c r="E217" s="12" t="s">
        <v>1134</v>
      </c>
    </row>
    <row r="218" spans="1:5" x14ac:dyDescent="0.25">
      <c r="A218" s="12" t="s">
        <v>217</v>
      </c>
      <c r="B218" s="13">
        <v>45931</v>
      </c>
      <c r="C218" s="12" t="s">
        <v>1047</v>
      </c>
      <c r="D218" s="12">
        <v>632</v>
      </c>
      <c r="E218" s="12" t="s">
        <v>1157</v>
      </c>
    </row>
    <row r="219" spans="1:5" x14ac:dyDescent="0.25">
      <c r="A219" s="12" t="s">
        <v>218</v>
      </c>
      <c r="B219" s="13">
        <v>45931</v>
      </c>
      <c r="C219" s="12" t="s">
        <v>1068</v>
      </c>
      <c r="D219" s="12">
        <v>510</v>
      </c>
      <c r="E219" s="12" t="s">
        <v>1214</v>
      </c>
    </row>
    <row r="220" spans="1:5" x14ac:dyDescent="0.25">
      <c r="A220" s="12" t="s">
        <v>219</v>
      </c>
      <c r="B220" s="13">
        <v>45931</v>
      </c>
      <c r="C220" s="12" t="s">
        <v>1031</v>
      </c>
      <c r="D220" s="12">
        <v>593</v>
      </c>
      <c r="E220" s="12" t="s">
        <v>1186</v>
      </c>
    </row>
    <row r="221" spans="1:5" x14ac:dyDescent="0.25">
      <c r="A221" s="12" t="s">
        <v>220</v>
      </c>
      <c r="B221" s="13">
        <v>45932</v>
      </c>
      <c r="C221" s="12" t="s">
        <v>1034</v>
      </c>
      <c r="D221" s="12">
        <v>297</v>
      </c>
      <c r="E221" s="12" t="s">
        <v>1199</v>
      </c>
    </row>
    <row r="222" spans="1:5" x14ac:dyDescent="0.25">
      <c r="A222" s="12" t="s">
        <v>221</v>
      </c>
      <c r="B222" s="13">
        <v>45932</v>
      </c>
      <c r="C222" s="12" t="s">
        <v>1042</v>
      </c>
      <c r="D222" s="12">
        <v>750</v>
      </c>
      <c r="E222" s="12" t="s">
        <v>1157</v>
      </c>
    </row>
    <row r="223" spans="1:5" x14ac:dyDescent="0.25">
      <c r="A223" s="12" t="s">
        <v>222</v>
      </c>
      <c r="B223" s="13">
        <v>45933</v>
      </c>
      <c r="C223" s="12" t="s">
        <v>1092</v>
      </c>
      <c r="D223" s="12">
        <v>206</v>
      </c>
      <c r="E223" s="12" t="s">
        <v>1229</v>
      </c>
    </row>
    <row r="224" spans="1:5" x14ac:dyDescent="0.25">
      <c r="A224" s="12" t="s">
        <v>223</v>
      </c>
      <c r="B224" s="13">
        <v>45933</v>
      </c>
      <c r="C224" s="12" t="s">
        <v>1105</v>
      </c>
      <c r="D224" s="12">
        <v>377</v>
      </c>
      <c r="E224" s="12" t="s">
        <v>1181</v>
      </c>
    </row>
    <row r="225" spans="1:5" x14ac:dyDescent="0.25">
      <c r="A225" s="12" t="s">
        <v>224</v>
      </c>
      <c r="B225" s="13">
        <v>45933</v>
      </c>
      <c r="C225" s="12" t="s">
        <v>1034</v>
      </c>
      <c r="D225" s="12">
        <v>613</v>
      </c>
      <c r="E225" s="12" t="s">
        <v>1206</v>
      </c>
    </row>
    <row r="226" spans="1:5" x14ac:dyDescent="0.25">
      <c r="A226" s="12" t="s">
        <v>225</v>
      </c>
      <c r="B226" s="13">
        <v>45933</v>
      </c>
      <c r="C226" s="12" t="s">
        <v>1047</v>
      </c>
      <c r="D226" s="12">
        <v>107</v>
      </c>
      <c r="E226" s="12" t="s">
        <v>1217</v>
      </c>
    </row>
    <row r="227" spans="1:5" x14ac:dyDescent="0.25">
      <c r="A227" s="12" t="s">
        <v>226</v>
      </c>
      <c r="B227" s="13">
        <v>45933</v>
      </c>
      <c r="C227" s="12" t="s">
        <v>1082</v>
      </c>
      <c r="D227" s="12">
        <v>707</v>
      </c>
      <c r="E227" s="12" t="s">
        <v>1214</v>
      </c>
    </row>
    <row r="228" spans="1:5" x14ac:dyDescent="0.25">
      <c r="A228" s="12" t="s">
        <v>227</v>
      </c>
      <c r="B228" s="13">
        <v>45934</v>
      </c>
      <c r="C228" s="12" t="s">
        <v>1058</v>
      </c>
      <c r="D228" s="12">
        <v>937</v>
      </c>
      <c r="E228" s="12" t="s">
        <v>1160</v>
      </c>
    </row>
    <row r="229" spans="1:5" x14ac:dyDescent="0.25">
      <c r="A229" s="12" t="s">
        <v>228</v>
      </c>
      <c r="B229" s="13">
        <v>45934</v>
      </c>
      <c r="C229" s="12" t="s">
        <v>1048</v>
      </c>
      <c r="D229" s="12">
        <v>154</v>
      </c>
      <c r="E229" s="12" t="s">
        <v>1229</v>
      </c>
    </row>
    <row r="230" spans="1:5" x14ac:dyDescent="0.25">
      <c r="A230" s="12" t="s">
        <v>229</v>
      </c>
      <c r="B230" s="13">
        <v>45934</v>
      </c>
      <c r="C230" s="12" t="s">
        <v>1075</v>
      </c>
      <c r="D230" s="12">
        <v>480</v>
      </c>
      <c r="E230" s="12" t="s">
        <v>1176</v>
      </c>
    </row>
    <row r="231" spans="1:5" x14ac:dyDescent="0.25">
      <c r="A231" s="12" t="s">
        <v>230</v>
      </c>
      <c r="B231" s="13">
        <v>45934</v>
      </c>
      <c r="C231" s="12" t="s">
        <v>1092</v>
      </c>
      <c r="D231" s="12">
        <v>680</v>
      </c>
      <c r="E231" s="12" t="s">
        <v>1179</v>
      </c>
    </row>
    <row r="232" spans="1:5" x14ac:dyDescent="0.25">
      <c r="A232" s="12" t="s">
        <v>231</v>
      </c>
      <c r="B232" s="13">
        <v>45934</v>
      </c>
      <c r="C232" s="12" t="s">
        <v>1061</v>
      </c>
      <c r="D232" s="12">
        <v>385</v>
      </c>
      <c r="E232" s="12" t="s">
        <v>1165</v>
      </c>
    </row>
    <row r="233" spans="1:5" x14ac:dyDescent="0.25">
      <c r="A233" s="12" t="s">
        <v>232</v>
      </c>
      <c r="B233" s="13">
        <v>45935</v>
      </c>
      <c r="C233" s="12" t="s">
        <v>1068</v>
      </c>
      <c r="D233" s="12">
        <v>875</v>
      </c>
      <c r="E233" s="12" t="s">
        <v>1225</v>
      </c>
    </row>
    <row r="234" spans="1:5" x14ac:dyDescent="0.25">
      <c r="A234" s="12" t="s">
        <v>233</v>
      </c>
      <c r="B234" s="13">
        <v>45935</v>
      </c>
      <c r="C234" s="12" t="s">
        <v>1098</v>
      </c>
      <c r="D234" s="12">
        <v>447</v>
      </c>
      <c r="E234" s="12" t="s">
        <v>1180</v>
      </c>
    </row>
    <row r="235" spans="1:5" x14ac:dyDescent="0.25">
      <c r="A235" s="12" t="s">
        <v>234</v>
      </c>
      <c r="B235" s="13">
        <v>45936</v>
      </c>
      <c r="C235" s="12" t="s">
        <v>1064</v>
      </c>
      <c r="D235" s="12">
        <v>159</v>
      </c>
      <c r="E235" s="12" t="s">
        <v>1142</v>
      </c>
    </row>
    <row r="236" spans="1:5" x14ac:dyDescent="0.25">
      <c r="A236" s="12" t="s">
        <v>235</v>
      </c>
      <c r="B236" s="13">
        <v>45936</v>
      </c>
      <c r="C236" s="12" t="s">
        <v>1064</v>
      </c>
      <c r="D236" s="12">
        <v>925</v>
      </c>
      <c r="E236" s="12" t="s">
        <v>1162</v>
      </c>
    </row>
    <row r="237" spans="1:5" x14ac:dyDescent="0.25">
      <c r="A237" s="12" t="s">
        <v>236</v>
      </c>
      <c r="B237" s="13">
        <v>45936</v>
      </c>
      <c r="C237" s="12" t="s">
        <v>1092</v>
      </c>
      <c r="D237" s="12">
        <v>302</v>
      </c>
      <c r="E237" s="12" t="s">
        <v>1152</v>
      </c>
    </row>
    <row r="238" spans="1:5" x14ac:dyDescent="0.25">
      <c r="A238" s="12" t="s">
        <v>237</v>
      </c>
      <c r="B238" s="13">
        <v>45936</v>
      </c>
      <c r="C238" s="12" t="s">
        <v>1070</v>
      </c>
      <c r="D238" s="12">
        <v>170</v>
      </c>
      <c r="E238" s="12" t="s">
        <v>1193</v>
      </c>
    </row>
    <row r="239" spans="1:5" x14ac:dyDescent="0.25">
      <c r="A239" s="12" t="s">
        <v>238</v>
      </c>
      <c r="B239" s="13">
        <v>45936</v>
      </c>
      <c r="C239" s="12" t="s">
        <v>1101</v>
      </c>
      <c r="D239" s="12">
        <v>276</v>
      </c>
      <c r="E239" s="12" t="s">
        <v>1216</v>
      </c>
    </row>
    <row r="240" spans="1:5" x14ac:dyDescent="0.25">
      <c r="A240" s="12" t="s">
        <v>239</v>
      </c>
      <c r="B240" s="13">
        <v>45936</v>
      </c>
      <c r="C240" s="12" t="s">
        <v>1105</v>
      </c>
      <c r="D240" s="12">
        <v>502</v>
      </c>
      <c r="E240" s="12" t="s">
        <v>1135</v>
      </c>
    </row>
    <row r="241" spans="1:5" x14ac:dyDescent="0.25">
      <c r="A241" s="12" t="s">
        <v>240</v>
      </c>
      <c r="B241" s="13">
        <v>45937</v>
      </c>
      <c r="C241" s="12" t="s">
        <v>1061</v>
      </c>
      <c r="D241" s="12">
        <v>704</v>
      </c>
      <c r="E241" s="12" t="s">
        <v>1170</v>
      </c>
    </row>
    <row r="242" spans="1:5" x14ac:dyDescent="0.25">
      <c r="A242" s="12" t="s">
        <v>241</v>
      </c>
      <c r="B242" s="13">
        <v>45937</v>
      </c>
      <c r="C242" s="12" t="s">
        <v>1105</v>
      </c>
      <c r="D242" s="12">
        <v>348</v>
      </c>
      <c r="E242" s="12" t="s">
        <v>1163</v>
      </c>
    </row>
    <row r="243" spans="1:5" x14ac:dyDescent="0.25">
      <c r="A243" s="12" t="s">
        <v>242</v>
      </c>
      <c r="B243" s="13">
        <v>45937</v>
      </c>
      <c r="C243" s="12" t="s">
        <v>1042</v>
      </c>
      <c r="D243" s="12">
        <v>673</v>
      </c>
      <c r="E243" s="12" t="s">
        <v>1212</v>
      </c>
    </row>
    <row r="244" spans="1:5" x14ac:dyDescent="0.25">
      <c r="A244" s="12" t="s">
        <v>243</v>
      </c>
      <c r="B244" s="13">
        <v>45937</v>
      </c>
      <c r="C244" s="12" t="s">
        <v>1039</v>
      </c>
      <c r="D244" s="12">
        <v>674</v>
      </c>
      <c r="E244" s="12" t="s">
        <v>1150</v>
      </c>
    </row>
    <row r="245" spans="1:5" x14ac:dyDescent="0.25">
      <c r="A245" s="12" t="s">
        <v>244</v>
      </c>
      <c r="B245" s="13">
        <v>45937</v>
      </c>
      <c r="C245" s="12" t="s">
        <v>1096</v>
      </c>
      <c r="D245" s="12">
        <v>520</v>
      </c>
      <c r="E245" s="12" t="s">
        <v>1218</v>
      </c>
    </row>
    <row r="246" spans="1:5" x14ac:dyDescent="0.25">
      <c r="A246" s="12" t="s">
        <v>245</v>
      </c>
      <c r="B246" s="13">
        <v>45937</v>
      </c>
      <c r="C246" s="12" t="s">
        <v>1047</v>
      </c>
      <c r="D246" s="12">
        <v>826</v>
      </c>
      <c r="E246" s="12" t="s">
        <v>1181</v>
      </c>
    </row>
    <row r="247" spans="1:5" x14ac:dyDescent="0.25">
      <c r="A247" s="12" t="s">
        <v>246</v>
      </c>
      <c r="B247" s="13">
        <v>45938</v>
      </c>
      <c r="C247" s="12" t="s">
        <v>1082</v>
      </c>
      <c r="D247" s="12">
        <v>799</v>
      </c>
      <c r="E247" s="12" t="s">
        <v>1133</v>
      </c>
    </row>
    <row r="248" spans="1:5" x14ac:dyDescent="0.25">
      <c r="A248" s="12" t="s">
        <v>247</v>
      </c>
      <c r="B248" s="13">
        <v>45939</v>
      </c>
      <c r="C248" s="12" t="s">
        <v>1098</v>
      </c>
      <c r="D248" s="12">
        <v>478</v>
      </c>
      <c r="E248" s="12" t="s">
        <v>1141</v>
      </c>
    </row>
    <row r="249" spans="1:5" x14ac:dyDescent="0.25">
      <c r="A249" s="12" t="s">
        <v>248</v>
      </c>
      <c r="B249" s="13">
        <v>45939</v>
      </c>
      <c r="C249" s="12" t="s">
        <v>1093</v>
      </c>
      <c r="D249" s="12">
        <v>142</v>
      </c>
      <c r="E249" s="12" t="s">
        <v>1150</v>
      </c>
    </row>
    <row r="250" spans="1:5" x14ac:dyDescent="0.25">
      <c r="A250" s="12" t="s">
        <v>249</v>
      </c>
      <c r="B250" s="13">
        <v>45939</v>
      </c>
      <c r="C250" s="12" t="s">
        <v>1031</v>
      </c>
      <c r="D250" s="12">
        <v>639</v>
      </c>
      <c r="E250" s="12" t="s">
        <v>1223</v>
      </c>
    </row>
    <row r="251" spans="1:5" x14ac:dyDescent="0.25">
      <c r="A251" s="12" t="s">
        <v>250</v>
      </c>
      <c r="B251" s="13">
        <v>45939</v>
      </c>
      <c r="C251" s="12" t="s">
        <v>1053</v>
      </c>
      <c r="D251" s="12">
        <v>138</v>
      </c>
      <c r="E251" s="12" t="s">
        <v>1138</v>
      </c>
    </row>
    <row r="252" spans="1:5" x14ac:dyDescent="0.25">
      <c r="A252" s="12" t="s">
        <v>251</v>
      </c>
      <c r="B252" s="13">
        <v>45939</v>
      </c>
      <c r="C252" s="12" t="s">
        <v>1063</v>
      </c>
      <c r="D252" s="12">
        <v>545</v>
      </c>
      <c r="E252" s="12" t="s">
        <v>1136</v>
      </c>
    </row>
    <row r="253" spans="1:5" x14ac:dyDescent="0.25">
      <c r="A253" s="12" t="s">
        <v>252</v>
      </c>
      <c r="B253" s="13">
        <v>45940</v>
      </c>
      <c r="C253" s="12" t="s">
        <v>1075</v>
      </c>
      <c r="D253" s="12">
        <v>152</v>
      </c>
      <c r="E253" s="12" t="s">
        <v>1158</v>
      </c>
    </row>
    <row r="254" spans="1:5" x14ac:dyDescent="0.25">
      <c r="A254" s="12" t="s">
        <v>253</v>
      </c>
      <c r="B254" s="13">
        <v>45940</v>
      </c>
      <c r="C254" s="12" t="s">
        <v>1039</v>
      </c>
      <c r="D254" s="12">
        <v>885</v>
      </c>
      <c r="E254" s="12" t="s">
        <v>1177</v>
      </c>
    </row>
    <row r="255" spans="1:5" x14ac:dyDescent="0.25">
      <c r="A255" s="12" t="s">
        <v>254</v>
      </c>
      <c r="B255" s="13">
        <v>45940</v>
      </c>
      <c r="C255" s="12" t="s">
        <v>1046</v>
      </c>
      <c r="D255" s="12">
        <v>450</v>
      </c>
      <c r="E255" s="12" t="s">
        <v>1189</v>
      </c>
    </row>
    <row r="256" spans="1:5" x14ac:dyDescent="0.25">
      <c r="A256" s="12" t="s">
        <v>255</v>
      </c>
      <c r="B256" s="13">
        <v>45941</v>
      </c>
      <c r="C256" s="12" t="s">
        <v>1045</v>
      </c>
      <c r="D256" s="12">
        <v>501</v>
      </c>
      <c r="E256" s="12" t="s">
        <v>1171</v>
      </c>
    </row>
    <row r="257" spans="1:5" x14ac:dyDescent="0.25">
      <c r="A257" s="12" t="s">
        <v>256</v>
      </c>
      <c r="B257" s="13">
        <v>45941</v>
      </c>
      <c r="C257" s="12" t="s">
        <v>1093</v>
      </c>
      <c r="D257" s="12">
        <v>107</v>
      </c>
      <c r="E257" s="12" t="s">
        <v>1184</v>
      </c>
    </row>
    <row r="258" spans="1:5" x14ac:dyDescent="0.25">
      <c r="A258" s="12" t="s">
        <v>257</v>
      </c>
      <c r="B258" s="13">
        <v>45941</v>
      </c>
      <c r="C258" s="12" t="s">
        <v>1098</v>
      </c>
      <c r="D258" s="12">
        <v>505</v>
      </c>
      <c r="E258" s="12" t="s">
        <v>1171</v>
      </c>
    </row>
    <row r="259" spans="1:5" x14ac:dyDescent="0.25">
      <c r="A259" s="12" t="s">
        <v>258</v>
      </c>
      <c r="B259" s="13">
        <v>45941</v>
      </c>
      <c r="C259" s="12" t="s">
        <v>1093</v>
      </c>
      <c r="D259" s="12">
        <v>959</v>
      </c>
      <c r="E259" s="12" t="s">
        <v>1158</v>
      </c>
    </row>
    <row r="260" spans="1:5" x14ac:dyDescent="0.25">
      <c r="A260" s="12" t="s">
        <v>259</v>
      </c>
      <c r="B260" s="13">
        <v>45941</v>
      </c>
      <c r="C260" s="12" t="s">
        <v>1048</v>
      </c>
      <c r="D260" s="12">
        <v>454</v>
      </c>
      <c r="E260" s="12" t="s">
        <v>1231</v>
      </c>
    </row>
    <row r="261" spans="1:5" x14ac:dyDescent="0.25">
      <c r="A261" s="12" t="s">
        <v>260</v>
      </c>
      <c r="B261" s="13">
        <v>45941</v>
      </c>
      <c r="C261" s="12" t="s">
        <v>1073</v>
      </c>
      <c r="D261" s="12">
        <v>760</v>
      </c>
      <c r="E261" s="12" t="s">
        <v>1173</v>
      </c>
    </row>
    <row r="262" spans="1:5" x14ac:dyDescent="0.25">
      <c r="A262" s="12" t="s">
        <v>261</v>
      </c>
      <c r="B262" s="13">
        <v>45942</v>
      </c>
      <c r="C262" s="12" t="s">
        <v>1103</v>
      </c>
      <c r="D262" s="12">
        <v>791</v>
      </c>
      <c r="E262" s="12" t="s">
        <v>1196</v>
      </c>
    </row>
    <row r="263" spans="1:5" x14ac:dyDescent="0.25">
      <c r="A263" s="12" t="s">
        <v>262</v>
      </c>
      <c r="B263" s="13">
        <v>45942</v>
      </c>
      <c r="C263" s="12" t="s">
        <v>1063</v>
      </c>
      <c r="D263" s="12">
        <v>157</v>
      </c>
      <c r="E263" s="12" t="s">
        <v>1171</v>
      </c>
    </row>
    <row r="264" spans="1:5" x14ac:dyDescent="0.25">
      <c r="A264" s="12" t="s">
        <v>263</v>
      </c>
      <c r="B264" s="13">
        <v>45942</v>
      </c>
      <c r="C264" s="12" t="s">
        <v>1088</v>
      </c>
      <c r="D264" s="12">
        <v>498</v>
      </c>
      <c r="E264" s="12" t="s">
        <v>1205</v>
      </c>
    </row>
    <row r="265" spans="1:5" x14ac:dyDescent="0.25">
      <c r="A265" s="12" t="s">
        <v>264</v>
      </c>
      <c r="B265" s="13">
        <v>45943</v>
      </c>
      <c r="C265" s="12" t="s">
        <v>1080</v>
      </c>
      <c r="D265" s="12">
        <v>626</v>
      </c>
      <c r="E265" s="12" t="s">
        <v>1206</v>
      </c>
    </row>
    <row r="266" spans="1:5" x14ac:dyDescent="0.25">
      <c r="A266" s="12" t="s">
        <v>265</v>
      </c>
      <c r="B266" s="13">
        <v>45944</v>
      </c>
      <c r="C266" s="12" t="s">
        <v>1073</v>
      </c>
      <c r="D266" s="12">
        <v>787</v>
      </c>
      <c r="E266" s="12" t="s">
        <v>1174</v>
      </c>
    </row>
    <row r="267" spans="1:5" x14ac:dyDescent="0.25">
      <c r="A267" s="12" t="s">
        <v>266</v>
      </c>
      <c r="B267" s="13">
        <v>45944</v>
      </c>
      <c r="C267" s="12" t="s">
        <v>1082</v>
      </c>
      <c r="D267" s="12">
        <v>357</v>
      </c>
      <c r="E267" s="12" t="s">
        <v>1204</v>
      </c>
    </row>
    <row r="268" spans="1:5" x14ac:dyDescent="0.25">
      <c r="A268" s="12" t="s">
        <v>267</v>
      </c>
      <c r="B268" s="13">
        <v>45945</v>
      </c>
      <c r="C268" s="12" t="s">
        <v>1034</v>
      </c>
      <c r="D268" s="12">
        <v>362</v>
      </c>
      <c r="E268" s="12" t="s">
        <v>1208</v>
      </c>
    </row>
    <row r="269" spans="1:5" x14ac:dyDescent="0.25">
      <c r="A269" s="12" t="s">
        <v>268</v>
      </c>
      <c r="B269" s="13">
        <v>45946</v>
      </c>
      <c r="C269" s="12" t="s">
        <v>1041</v>
      </c>
      <c r="D269" s="12">
        <v>381</v>
      </c>
      <c r="E269" s="12" t="s">
        <v>1164</v>
      </c>
    </row>
    <row r="270" spans="1:5" x14ac:dyDescent="0.25">
      <c r="A270" s="12" t="s">
        <v>269</v>
      </c>
      <c r="B270" s="13">
        <v>45946</v>
      </c>
      <c r="C270" s="12" t="s">
        <v>1055</v>
      </c>
      <c r="D270" s="12">
        <v>853</v>
      </c>
      <c r="E270" s="12" t="s">
        <v>1176</v>
      </c>
    </row>
    <row r="271" spans="1:5" x14ac:dyDescent="0.25">
      <c r="A271" s="12" t="s">
        <v>270</v>
      </c>
      <c r="B271" s="13">
        <v>45946</v>
      </c>
      <c r="C271" s="12" t="s">
        <v>1105</v>
      </c>
      <c r="D271" s="12">
        <v>941</v>
      </c>
      <c r="E271" s="12" t="s">
        <v>1147</v>
      </c>
    </row>
    <row r="272" spans="1:5" x14ac:dyDescent="0.25">
      <c r="A272" s="12" t="s">
        <v>271</v>
      </c>
      <c r="B272" s="13">
        <v>45946</v>
      </c>
      <c r="C272" s="12" t="s">
        <v>1092</v>
      </c>
      <c r="D272" s="12">
        <v>551</v>
      </c>
      <c r="E272" s="12" t="s">
        <v>1159</v>
      </c>
    </row>
    <row r="273" spans="1:5" x14ac:dyDescent="0.25">
      <c r="A273" s="12" t="s">
        <v>272</v>
      </c>
      <c r="B273" s="13">
        <v>45947</v>
      </c>
      <c r="C273" s="12" t="s">
        <v>1093</v>
      </c>
      <c r="D273" s="12">
        <v>601</v>
      </c>
      <c r="E273" s="12" t="s">
        <v>1177</v>
      </c>
    </row>
    <row r="274" spans="1:5" x14ac:dyDescent="0.25">
      <c r="A274" s="12" t="s">
        <v>273</v>
      </c>
      <c r="B274" s="13">
        <v>45948</v>
      </c>
      <c r="C274" s="12" t="s">
        <v>1095</v>
      </c>
      <c r="D274" s="12">
        <v>875</v>
      </c>
      <c r="E274" s="12" t="s">
        <v>1142</v>
      </c>
    </row>
    <row r="275" spans="1:5" x14ac:dyDescent="0.25">
      <c r="A275" s="12" t="s">
        <v>274</v>
      </c>
      <c r="B275" s="13">
        <v>45948</v>
      </c>
      <c r="C275" s="12" t="s">
        <v>1049</v>
      </c>
      <c r="D275" s="12">
        <v>352</v>
      </c>
      <c r="E275" s="12" t="s">
        <v>1138</v>
      </c>
    </row>
    <row r="276" spans="1:5" x14ac:dyDescent="0.25">
      <c r="A276" s="12" t="s">
        <v>275</v>
      </c>
      <c r="B276" s="13">
        <v>45948</v>
      </c>
      <c r="C276" s="12" t="s">
        <v>1092</v>
      </c>
      <c r="D276" s="12">
        <v>290</v>
      </c>
      <c r="E276" s="12" t="s">
        <v>1191</v>
      </c>
    </row>
    <row r="277" spans="1:5" x14ac:dyDescent="0.25">
      <c r="A277" s="12" t="s">
        <v>276</v>
      </c>
      <c r="B277" s="13">
        <v>45948</v>
      </c>
      <c r="C277" s="12" t="s">
        <v>1070</v>
      </c>
      <c r="D277" s="12">
        <v>730</v>
      </c>
      <c r="E277" s="12" t="s">
        <v>1140</v>
      </c>
    </row>
    <row r="278" spans="1:5" x14ac:dyDescent="0.25">
      <c r="A278" s="12" t="s">
        <v>277</v>
      </c>
      <c r="B278" s="13">
        <v>45949</v>
      </c>
      <c r="C278" s="12" t="s">
        <v>1082</v>
      </c>
      <c r="D278" s="12">
        <v>879</v>
      </c>
      <c r="E278" s="12" t="s">
        <v>1176</v>
      </c>
    </row>
    <row r="279" spans="1:5" x14ac:dyDescent="0.25">
      <c r="A279" s="12" t="s">
        <v>278</v>
      </c>
      <c r="B279" s="13">
        <v>45949</v>
      </c>
      <c r="C279" s="12" t="s">
        <v>1049</v>
      </c>
      <c r="D279" s="12">
        <v>645</v>
      </c>
      <c r="E279" s="12" t="s">
        <v>1159</v>
      </c>
    </row>
    <row r="280" spans="1:5" x14ac:dyDescent="0.25">
      <c r="A280" s="12" t="s">
        <v>279</v>
      </c>
      <c r="B280" s="13">
        <v>45949</v>
      </c>
      <c r="C280" s="12" t="s">
        <v>1078</v>
      </c>
      <c r="D280" s="12">
        <v>478</v>
      </c>
      <c r="E280" s="12" t="s">
        <v>1184</v>
      </c>
    </row>
    <row r="281" spans="1:5" x14ac:dyDescent="0.25">
      <c r="A281" s="12" t="s">
        <v>280</v>
      </c>
      <c r="B281" s="13">
        <v>45950</v>
      </c>
      <c r="C281" s="12" t="s">
        <v>1042</v>
      </c>
      <c r="D281" s="12">
        <v>910</v>
      </c>
      <c r="E281" s="12" t="s">
        <v>1149</v>
      </c>
    </row>
    <row r="282" spans="1:5" x14ac:dyDescent="0.25">
      <c r="A282" s="12" t="s">
        <v>281</v>
      </c>
      <c r="B282" s="13">
        <v>45950</v>
      </c>
      <c r="C282" s="12" t="s">
        <v>1086</v>
      </c>
      <c r="D282" s="12">
        <v>991</v>
      </c>
      <c r="E282" s="12" t="s">
        <v>1192</v>
      </c>
    </row>
    <row r="283" spans="1:5" x14ac:dyDescent="0.25">
      <c r="A283" s="12" t="s">
        <v>282</v>
      </c>
      <c r="B283" s="13">
        <v>45950</v>
      </c>
      <c r="C283" s="12" t="s">
        <v>1064</v>
      </c>
      <c r="D283" s="12">
        <v>371</v>
      </c>
      <c r="E283" s="12" t="s">
        <v>1205</v>
      </c>
    </row>
    <row r="284" spans="1:5" x14ac:dyDescent="0.25">
      <c r="A284" s="12" t="s">
        <v>283</v>
      </c>
      <c r="B284" s="13">
        <v>45950</v>
      </c>
      <c r="C284" s="12" t="s">
        <v>1090</v>
      </c>
      <c r="D284" s="12">
        <v>321</v>
      </c>
      <c r="E284" s="12" t="s">
        <v>1216</v>
      </c>
    </row>
    <row r="285" spans="1:5" x14ac:dyDescent="0.25">
      <c r="A285" s="12" t="s">
        <v>284</v>
      </c>
      <c r="B285" s="13">
        <v>45950</v>
      </c>
      <c r="C285" s="12" t="s">
        <v>1037</v>
      </c>
      <c r="D285" s="12">
        <v>673</v>
      </c>
      <c r="E285" s="12" t="s">
        <v>1177</v>
      </c>
    </row>
    <row r="286" spans="1:5" x14ac:dyDescent="0.25">
      <c r="A286" s="12" t="s">
        <v>285</v>
      </c>
      <c r="B286" s="13">
        <v>45950</v>
      </c>
      <c r="C286" s="12" t="s">
        <v>1049</v>
      </c>
      <c r="D286" s="12">
        <v>822</v>
      </c>
      <c r="E286" s="12" t="s">
        <v>1134</v>
      </c>
    </row>
    <row r="287" spans="1:5" x14ac:dyDescent="0.25">
      <c r="A287" s="12" t="s">
        <v>286</v>
      </c>
      <c r="B287" s="13">
        <v>45951</v>
      </c>
      <c r="C287" s="12" t="s">
        <v>1034</v>
      </c>
      <c r="D287" s="12">
        <v>734</v>
      </c>
      <c r="E287" s="12" t="s">
        <v>1197</v>
      </c>
    </row>
    <row r="288" spans="1:5" x14ac:dyDescent="0.25">
      <c r="A288" s="12" t="s">
        <v>287</v>
      </c>
      <c r="B288" s="13">
        <v>45951</v>
      </c>
      <c r="C288" s="12" t="s">
        <v>1073</v>
      </c>
      <c r="D288" s="12">
        <v>870</v>
      </c>
      <c r="E288" s="12" t="s">
        <v>1136</v>
      </c>
    </row>
    <row r="289" spans="1:5" x14ac:dyDescent="0.25">
      <c r="A289" s="12" t="s">
        <v>288</v>
      </c>
      <c r="B289" s="13">
        <v>45951</v>
      </c>
      <c r="C289" s="12" t="s">
        <v>1047</v>
      </c>
      <c r="D289" s="12">
        <v>105</v>
      </c>
      <c r="E289" s="12" t="s">
        <v>1193</v>
      </c>
    </row>
    <row r="290" spans="1:5" x14ac:dyDescent="0.25">
      <c r="A290" s="12" t="s">
        <v>289</v>
      </c>
      <c r="B290" s="13">
        <v>45951</v>
      </c>
      <c r="C290" s="12" t="s">
        <v>1086</v>
      </c>
      <c r="D290" s="12">
        <v>968</v>
      </c>
      <c r="E290" s="12" t="s">
        <v>1183</v>
      </c>
    </row>
    <row r="291" spans="1:5" x14ac:dyDescent="0.25">
      <c r="A291" s="12" t="s">
        <v>290</v>
      </c>
      <c r="B291" s="13">
        <v>45952</v>
      </c>
      <c r="C291" s="12" t="s">
        <v>1068</v>
      </c>
      <c r="D291" s="12">
        <v>784</v>
      </c>
      <c r="E291" s="12" t="s">
        <v>1189</v>
      </c>
    </row>
    <row r="292" spans="1:5" x14ac:dyDescent="0.25">
      <c r="A292" s="12" t="s">
        <v>291</v>
      </c>
      <c r="B292" s="13">
        <v>45952</v>
      </c>
      <c r="C292" s="12" t="s">
        <v>1098</v>
      </c>
      <c r="D292" s="12">
        <v>660</v>
      </c>
      <c r="E292" s="12" t="s">
        <v>1229</v>
      </c>
    </row>
    <row r="293" spans="1:5" x14ac:dyDescent="0.25">
      <c r="A293" s="12" t="s">
        <v>292</v>
      </c>
      <c r="B293" s="13">
        <v>45952</v>
      </c>
      <c r="C293" s="12" t="s">
        <v>1037</v>
      </c>
      <c r="D293" s="12">
        <v>563</v>
      </c>
      <c r="E293" s="12" t="s">
        <v>1188</v>
      </c>
    </row>
    <row r="294" spans="1:5" x14ac:dyDescent="0.25">
      <c r="A294" s="12" t="s">
        <v>293</v>
      </c>
      <c r="B294" s="13">
        <v>45952</v>
      </c>
      <c r="C294" s="12" t="s">
        <v>1069</v>
      </c>
      <c r="D294" s="12">
        <v>436</v>
      </c>
      <c r="E294" s="12" t="s">
        <v>1193</v>
      </c>
    </row>
    <row r="295" spans="1:5" x14ac:dyDescent="0.25">
      <c r="A295" s="12" t="s">
        <v>294</v>
      </c>
      <c r="B295" s="13">
        <v>45952</v>
      </c>
      <c r="C295" s="12" t="s">
        <v>1073</v>
      </c>
      <c r="D295" s="12">
        <v>321</v>
      </c>
      <c r="E295" s="12" t="s">
        <v>1224</v>
      </c>
    </row>
    <row r="296" spans="1:5" x14ac:dyDescent="0.25">
      <c r="A296" s="12" t="s">
        <v>295</v>
      </c>
      <c r="B296" s="13">
        <v>45952</v>
      </c>
      <c r="C296" s="12" t="s">
        <v>1093</v>
      </c>
      <c r="D296" s="12">
        <v>466</v>
      </c>
      <c r="E296" s="12" t="s">
        <v>1163</v>
      </c>
    </row>
    <row r="297" spans="1:5" x14ac:dyDescent="0.25">
      <c r="A297" s="12" t="s">
        <v>296</v>
      </c>
      <c r="B297" s="13">
        <v>45952</v>
      </c>
      <c r="C297" s="12" t="s">
        <v>1037</v>
      </c>
      <c r="D297" s="12">
        <v>903</v>
      </c>
      <c r="E297" s="12" t="s">
        <v>1169</v>
      </c>
    </row>
    <row r="298" spans="1:5" x14ac:dyDescent="0.25">
      <c r="A298" s="12" t="s">
        <v>297</v>
      </c>
      <c r="B298" s="13">
        <v>45953</v>
      </c>
      <c r="C298" s="12" t="s">
        <v>1096</v>
      </c>
      <c r="D298" s="12">
        <v>912</v>
      </c>
      <c r="E298" s="12" t="s">
        <v>1214</v>
      </c>
    </row>
    <row r="299" spans="1:5" x14ac:dyDescent="0.25">
      <c r="A299" s="12" t="s">
        <v>298</v>
      </c>
      <c r="B299" s="13">
        <v>45953</v>
      </c>
      <c r="C299" s="12" t="s">
        <v>1034</v>
      </c>
      <c r="D299" s="12">
        <v>891</v>
      </c>
      <c r="E299" s="12" t="s">
        <v>1162</v>
      </c>
    </row>
    <row r="300" spans="1:5" x14ac:dyDescent="0.25">
      <c r="A300" s="12" t="s">
        <v>299</v>
      </c>
      <c r="B300" s="13">
        <v>45953</v>
      </c>
      <c r="C300" s="12" t="s">
        <v>1053</v>
      </c>
      <c r="D300" s="12">
        <v>165</v>
      </c>
      <c r="E300" s="12" t="s">
        <v>1161</v>
      </c>
    </row>
    <row r="301" spans="1:5" x14ac:dyDescent="0.25">
      <c r="A301" s="12" t="s">
        <v>300</v>
      </c>
      <c r="B301" s="13">
        <v>45955</v>
      </c>
      <c r="C301" s="12" t="s">
        <v>1095</v>
      </c>
      <c r="D301" s="12">
        <v>617</v>
      </c>
      <c r="E301" s="12" t="s">
        <v>1158</v>
      </c>
    </row>
    <row r="302" spans="1:5" x14ac:dyDescent="0.25">
      <c r="A302" s="12" t="s">
        <v>301</v>
      </c>
      <c r="B302" s="13">
        <v>45955</v>
      </c>
      <c r="C302" s="12" t="s">
        <v>1098</v>
      </c>
      <c r="D302" s="12">
        <v>886</v>
      </c>
      <c r="E302" s="12" t="s">
        <v>1145</v>
      </c>
    </row>
    <row r="303" spans="1:5" x14ac:dyDescent="0.25">
      <c r="A303" s="12" t="s">
        <v>302</v>
      </c>
      <c r="B303" s="13">
        <v>45956</v>
      </c>
      <c r="C303" s="12" t="s">
        <v>1048</v>
      </c>
      <c r="D303" s="12">
        <v>654</v>
      </c>
      <c r="E303" s="12" t="s">
        <v>1139</v>
      </c>
    </row>
    <row r="304" spans="1:5" x14ac:dyDescent="0.25">
      <c r="A304" s="12" t="s">
        <v>303</v>
      </c>
      <c r="B304" s="13">
        <v>45956</v>
      </c>
      <c r="C304" s="12" t="s">
        <v>1049</v>
      </c>
      <c r="D304" s="12">
        <v>685</v>
      </c>
      <c r="E304" s="12" t="s">
        <v>1187</v>
      </c>
    </row>
    <row r="305" spans="1:5" x14ac:dyDescent="0.25">
      <c r="A305" s="12" t="s">
        <v>304</v>
      </c>
      <c r="B305" s="13">
        <v>45957</v>
      </c>
      <c r="C305" s="12" t="s">
        <v>1034</v>
      </c>
      <c r="D305" s="12">
        <v>731</v>
      </c>
      <c r="E305" s="12" t="s">
        <v>1216</v>
      </c>
    </row>
    <row r="306" spans="1:5" x14ac:dyDescent="0.25">
      <c r="A306" s="12" t="s">
        <v>305</v>
      </c>
      <c r="B306" s="13">
        <v>45957</v>
      </c>
      <c r="C306" s="12" t="s">
        <v>1055</v>
      </c>
      <c r="D306" s="12">
        <v>993</v>
      </c>
      <c r="E306" s="12" t="s">
        <v>1213</v>
      </c>
    </row>
    <row r="307" spans="1:5" x14ac:dyDescent="0.25">
      <c r="A307" s="12" t="s">
        <v>306</v>
      </c>
      <c r="B307" s="13">
        <v>45958</v>
      </c>
      <c r="C307" s="12" t="s">
        <v>1047</v>
      </c>
      <c r="D307" s="12">
        <v>703</v>
      </c>
      <c r="E307" s="12" t="s">
        <v>1186</v>
      </c>
    </row>
    <row r="308" spans="1:5" x14ac:dyDescent="0.25">
      <c r="A308" s="12" t="s">
        <v>307</v>
      </c>
      <c r="B308" s="13">
        <v>45958</v>
      </c>
      <c r="C308" s="12" t="s">
        <v>1069</v>
      </c>
      <c r="D308" s="12">
        <v>535</v>
      </c>
      <c r="E308" s="12" t="s">
        <v>1168</v>
      </c>
    </row>
    <row r="309" spans="1:5" x14ac:dyDescent="0.25">
      <c r="A309" s="12" t="s">
        <v>308</v>
      </c>
      <c r="B309" s="13">
        <v>45959</v>
      </c>
      <c r="C309" s="12" t="s">
        <v>1048</v>
      </c>
      <c r="D309" s="12">
        <v>847</v>
      </c>
      <c r="E309" s="12" t="s">
        <v>1222</v>
      </c>
    </row>
    <row r="310" spans="1:5" x14ac:dyDescent="0.25">
      <c r="A310" s="12" t="s">
        <v>309</v>
      </c>
      <c r="B310" s="13">
        <v>45960</v>
      </c>
      <c r="C310" s="12" t="s">
        <v>1053</v>
      </c>
      <c r="D310" s="12">
        <v>447</v>
      </c>
      <c r="E310" s="12" t="s">
        <v>1231</v>
      </c>
    </row>
    <row r="311" spans="1:5" x14ac:dyDescent="0.25">
      <c r="A311" s="12" t="s">
        <v>310</v>
      </c>
      <c r="B311" s="13">
        <v>45960</v>
      </c>
      <c r="C311" s="12" t="s">
        <v>1048</v>
      </c>
      <c r="D311" s="12">
        <v>286</v>
      </c>
      <c r="E311" s="12" t="s">
        <v>1166</v>
      </c>
    </row>
    <row r="312" spans="1:5" x14ac:dyDescent="0.25">
      <c r="A312" s="12" t="s">
        <v>311</v>
      </c>
      <c r="B312" s="13">
        <v>45961</v>
      </c>
      <c r="C312" s="12" t="s">
        <v>1082</v>
      </c>
      <c r="D312" s="12">
        <v>338</v>
      </c>
      <c r="E312" s="12" t="s">
        <v>1165</v>
      </c>
    </row>
    <row r="313" spans="1:5" x14ac:dyDescent="0.25">
      <c r="A313" s="12" t="s">
        <v>312</v>
      </c>
      <c r="B313" s="13">
        <v>45961</v>
      </c>
      <c r="C313" s="12" t="s">
        <v>1052</v>
      </c>
      <c r="D313" s="12">
        <v>506</v>
      </c>
      <c r="E313" s="12" t="s">
        <v>1187</v>
      </c>
    </row>
    <row r="314" spans="1:5" x14ac:dyDescent="0.25">
      <c r="A314" s="12" t="s">
        <v>313</v>
      </c>
      <c r="B314" s="13">
        <v>45962</v>
      </c>
      <c r="C314" s="12" t="s">
        <v>1068</v>
      </c>
      <c r="D314" s="12">
        <v>117</v>
      </c>
      <c r="E314" s="12" t="s">
        <v>1184</v>
      </c>
    </row>
    <row r="315" spans="1:5" x14ac:dyDescent="0.25">
      <c r="A315" s="12" t="s">
        <v>314</v>
      </c>
      <c r="B315" s="13">
        <v>45962</v>
      </c>
      <c r="C315" s="12" t="s">
        <v>1052</v>
      </c>
      <c r="D315" s="12">
        <v>967</v>
      </c>
      <c r="E315" s="12" t="s">
        <v>1207</v>
      </c>
    </row>
    <row r="316" spans="1:5" x14ac:dyDescent="0.25">
      <c r="A316" s="12" t="s">
        <v>315</v>
      </c>
      <c r="B316" s="13">
        <v>45962</v>
      </c>
      <c r="C316" s="12" t="s">
        <v>1048</v>
      </c>
      <c r="D316" s="12">
        <v>986</v>
      </c>
      <c r="E316" s="12" t="s">
        <v>1227</v>
      </c>
    </row>
    <row r="317" spans="1:5" x14ac:dyDescent="0.25">
      <c r="A317" s="12" t="s">
        <v>316</v>
      </c>
      <c r="B317" s="13">
        <v>45963</v>
      </c>
      <c r="C317" s="12" t="s">
        <v>1041</v>
      </c>
      <c r="D317" s="12">
        <v>234</v>
      </c>
      <c r="E317" s="12" t="s">
        <v>1164</v>
      </c>
    </row>
    <row r="318" spans="1:5" x14ac:dyDescent="0.25">
      <c r="A318" s="12" t="s">
        <v>317</v>
      </c>
      <c r="B318" s="13">
        <v>45963</v>
      </c>
      <c r="C318" s="12" t="s">
        <v>1045</v>
      </c>
      <c r="D318" s="12">
        <v>797</v>
      </c>
      <c r="E318" s="12" t="s">
        <v>1177</v>
      </c>
    </row>
    <row r="319" spans="1:5" x14ac:dyDescent="0.25">
      <c r="A319" s="12" t="s">
        <v>318</v>
      </c>
      <c r="B319" s="13">
        <v>45963</v>
      </c>
      <c r="C319" s="12" t="s">
        <v>1084</v>
      </c>
      <c r="D319" s="12">
        <v>286</v>
      </c>
      <c r="E319" s="12" t="s">
        <v>1226</v>
      </c>
    </row>
    <row r="320" spans="1:5" x14ac:dyDescent="0.25">
      <c r="A320" s="12" t="s">
        <v>319</v>
      </c>
      <c r="B320" s="13">
        <v>45964</v>
      </c>
      <c r="C320" s="12" t="s">
        <v>1034</v>
      </c>
      <c r="D320" s="12">
        <v>162</v>
      </c>
      <c r="E320" s="12" t="s">
        <v>1200</v>
      </c>
    </row>
    <row r="321" spans="1:5" x14ac:dyDescent="0.25">
      <c r="A321" s="12" t="s">
        <v>320</v>
      </c>
      <c r="B321" s="13">
        <v>45965</v>
      </c>
      <c r="C321" s="12" t="s">
        <v>1075</v>
      </c>
      <c r="D321" s="12">
        <v>679</v>
      </c>
      <c r="E321" s="12" t="s">
        <v>1205</v>
      </c>
    </row>
    <row r="322" spans="1:5" x14ac:dyDescent="0.25">
      <c r="A322" s="12" t="s">
        <v>321</v>
      </c>
      <c r="B322" s="13">
        <v>45965</v>
      </c>
      <c r="C322" s="12" t="s">
        <v>1088</v>
      </c>
      <c r="D322" s="12">
        <v>132</v>
      </c>
      <c r="E322" s="12" t="s">
        <v>1215</v>
      </c>
    </row>
    <row r="323" spans="1:5" x14ac:dyDescent="0.25">
      <c r="A323" s="12" t="s">
        <v>322</v>
      </c>
      <c r="B323" s="13">
        <v>45966</v>
      </c>
      <c r="C323" s="12" t="s">
        <v>1047</v>
      </c>
      <c r="D323" s="12">
        <v>922</v>
      </c>
      <c r="E323" s="12" t="s">
        <v>1219</v>
      </c>
    </row>
    <row r="324" spans="1:5" x14ac:dyDescent="0.25">
      <c r="A324" s="12" t="s">
        <v>323</v>
      </c>
      <c r="B324" s="13">
        <v>45966</v>
      </c>
      <c r="C324" s="12" t="s">
        <v>1053</v>
      </c>
      <c r="D324" s="12">
        <v>999</v>
      </c>
      <c r="E324" s="12" t="s">
        <v>1204</v>
      </c>
    </row>
    <row r="325" spans="1:5" x14ac:dyDescent="0.25">
      <c r="A325" s="12" t="s">
        <v>324</v>
      </c>
      <c r="B325" s="13">
        <v>45966</v>
      </c>
      <c r="C325" s="12" t="s">
        <v>1027</v>
      </c>
      <c r="D325" s="12">
        <v>873</v>
      </c>
      <c r="E325" s="12" t="s">
        <v>1163</v>
      </c>
    </row>
    <row r="326" spans="1:5" x14ac:dyDescent="0.25">
      <c r="A326" s="12" t="s">
        <v>325</v>
      </c>
      <c r="B326" s="13">
        <v>45968</v>
      </c>
      <c r="C326" s="12" t="s">
        <v>1103</v>
      </c>
      <c r="D326" s="12">
        <v>310</v>
      </c>
      <c r="E326" s="12" t="s">
        <v>1223</v>
      </c>
    </row>
    <row r="327" spans="1:5" x14ac:dyDescent="0.25">
      <c r="A327" s="12" t="s">
        <v>326</v>
      </c>
      <c r="B327" s="13">
        <v>45968</v>
      </c>
      <c r="C327" s="12" t="s">
        <v>1034</v>
      </c>
      <c r="D327" s="12">
        <v>461</v>
      </c>
      <c r="E327" s="12" t="s">
        <v>1166</v>
      </c>
    </row>
    <row r="328" spans="1:5" x14ac:dyDescent="0.25">
      <c r="A328" s="12" t="s">
        <v>327</v>
      </c>
      <c r="B328" s="13">
        <v>45968</v>
      </c>
      <c r="C328" s="12" t="s">
        <v>1048</v>
      </c>
      <c r="D328" s="12">
        <v>286</v>
      </c>
      <c r="E328" s="12" t="s">
        <v>1158</v>
      </c>
    </row>
    <row r="329" spans="1:5" x14ac:dyDescent="0.25">
      <c r="A329" s="12" t="s">
        <v>328</v>
      </c>
      <c r="B329" s="13">
        <v>45968</v>
      </c>
      <c r="C329" s="12" t="s">
        <v>1047</v>
      </c>
      <c r="D329" s="12">
        <v>262</v>
      </c>
      <c r="E329" s="12" t="s">
        <v>1153</v>
      </c>
    </row>
    <row r="330" spans="1:5" x14ac:dyDescent="0.25">
      <c r="A330" s="12" t="s">
        <v>329</v>
      </c>
      <c r="B330" s="13">
        <v>45968</v>
      </c>
      <c r="C330" s="12" t="s">
        <v>1073</v>
      </c>
      <c r="D330" s="12">
        <v>398</v>
      </c>
      <c r="E330" s="12" t="s">
        <v>1208</v>
      </c>
    </row>
    <row r="331" spans="1:5" x14ac:dyDescent="0.25">
      <c r="A331" s="12" t="s">
        <v>330</v>
      </c>
      <c r="B331" s="13">
        <v>45969</v>
      </c>
      <c r="C331" s="12" t="s">
        <v>1058</v>
      </c>
      <c r="D331" s="12">
        <v>677</v>
      </c>
      <c r="E331" s="12" t="s">
        <v>1231</v>
      </c>
    </row>
    <row r="332" spans="1:5" x14ac:dyDescent="0.25">
      <c r="A332" s="12" t="s">
        <v>331</v>
      </c>
      <c r="B332" s="13">
        <v>45969</v>
      </c>
      <c r="C332" s="12" t="s">
        <v>1048</v>
      </c>
      <c r="D332" s="12">
        <v>387</v>
      </c>
      <c r="E332" s="12" t="s">
        <v>1178</v>
      </c>
    </row>
    <row r="333" spans="1:5" x14ac:dyDescent="0.25">
      <c r="A333" s="12" t="s">
        <v>332</v>
      </c>
      <c r="B333" s="13">
        <v>45970</v>
      </c>
      <c r="C333" s="12" t="s">
        <v>1075</v>
      </c>
      <c r="D333" s="12">
        <v>856</v>
      </c>
      <c r="E333" s="12" t="s">
        <v>1206</v>
      </c>
    </row>
    <row r="334" spans="1:5" x14ac:dyDescent="0.25">
      <c r="A334" s="12" t="s">
        <v>333</v>
      </c>
      <c r="B334" s="13">
        <v>45971</v>
      </c>
      <c r="C334" s="12" t="s">
        <v>1058</v>
      </c>
      <c r="D334" s="12">
        <v>843</v>
      </c>
      <c r="E334" s="12" t="s">
        <v>1189</v>
      </c>
    </row>
    <row r="335" spans="1:5" x14ac:dyDescent="0.25">
      <c r="A335" s="12" t="s">
        <v>334</v>
      </c>
      <c r="B335" s="13">
        <v>45972</v>
      </c>
      <c r="C335" s="12" t="s">
        <v>1047</v>
      </c>
      <c r="D335" s="12">
        <v>410</v>
      </c>
      <c r="E335" s="12" t="s">
        <v>1161</v>
      </c>
    </row>
    <row r="336" spans="1:5" x14ac:dyDescent="0.25">
      <c r="A336" s="12" t="s">
        <v>335</v>
      </c>
      <c r="B336" s="13">
        <v>45972</v>
      </c>
      <c r="C336" s="12" t="s">
        <v>1070</v>
      </c>
      <c r="D336" s="12">
        <v>212</v>
      </c>
      <c r="E336" s="12" t="s">
        <v>1138</v>
      </c>
    </row>
    <row r="337" spans="1:5" x14ac:dyDescent="0.25">
      <c r="A337" s="12" t="s">
        <v>336</v>
      </c>
      <c r="B337" s="13">
        <v>45972</v>
      </c>
      <c r="C337" s="12" t="s">
        <v>1053</v>
      </c>
      <c r="D337" s="12">
        <v>778</v>
      </c>
      <c r="E337" s="12" t="s">
        <v>1203</v>
      </c>
    </row>
    <row r="338" spans="1:5" x14ac:dyDescent="0.25">
      <c r="A338" s="12" t="s">
        <v>337</v>
      </c>
      <c r="B338" s="13">
        <v>45972</v>
      </c>
      <c r="C338" s="12" t="s">
        <v>1088</v>
      </c>
      <c r="D338" s="12">
        <v>735</v>
      </c>
      <c r="E338" s="12" t="s">
        <v>1140</v>
      </c>
    </row>
    <row r="339" spans="1:5" x14ac:dyDescent="0.25">
      <c r="A339" s="12" t="s">
        <v>338</v>
      </c>
      <c r="B339" s="13">
        <v>45972</v>
      </c>
      <c r="C339" s="12" t="s">
        <v>1098</v>
      </c>
      <c r="D339" s="12">
        <v>628</v>
      </c>
      <c r="E339" s="12" t="s">
        <v>1173</v>
      </c>
    </row>
    <row r="340" spans="1:5" x14ac:dyDescent="0.25">
      <c r="A340" s="12" t="s">
        <v>339</v>
      </c>
      <c r="B340" s="13">
        <v>45973</v>
      </c>
      <c r="C340" s="12" t="s">
        <v>1075</v>
      </c>
      <c r="D340" s="12">
        <v>694</v>
      </c>
      <c r="E340" s="12" t="s">
        <v>1152</v>
      </c>
    </row>
    <row r="341" spans="1:5" x14ac:dyDescent="0.25">
      <c r="A341" s="12" t="s">
        <v>340</v>
      </c>
      <c r="B341" s="13">
        <v>45973</v>
      </c>
      <c r="C341" s="12" t="s">
        <v>1105</v>
      </c>
      <c r="D341" s="12">
        <v>581</v>
      </c>
      <c r="E341" s="12" t="s">
        <v>1183</v>
      </c>
    </row>
    <row r="342" spans="1:5" x14ac:dyDescent="0.25">
      <c r="A342" s="12" t="s">
        <v>341</v>
      </c>
      <c r="B342" s="13">
        <v>45973</v>
      </c>
      <c r="C342" s="12" t="s">
        <v>1101</v>
      </c>
      <c r="D342" s="12">
        <v>893</v>
      </c>
      <c r="E342" s="12" t="s">
        <v>1143</v>
      </c>
    </row>
    <row r="343" spans="1:5" x14ac:dyDescent="0.25">
      <c r="A343" s="12" t="s">
        <v>342</v>
      </c>
      <c r="B343" s="13">
        <v>45974</v>
      </c>
      <c r="C343" s="12" t="s">
        <v>1103</v>
      </c>
      <c r="D343" s="12">
        <v>630</v>
      </c>
      <c r="E343" s="12" t="s">
        <v>1200</v>
      </c>
    </row>
    <row r="344" spans="1:5" x14ac:dyDescent="0.25">
      <c r="A344" s="12" t="s">
        <v>343</v>
      </c>
      <c r="B344" s="13">
        <v>45974</v>
      </c>
      <c r="C344" s="12" t="s">
        <v>1039</v>
      </c>
      <c r="D344" s="12">
        <v>704</v>
      </c>
      <c r="E344" s="12" t="s">
        <v>1142</v>
      </c>
    </row>
    <row r="345" spans="1:5" x14ac:dyDescent="0.25">
      <c r="A345" s="12" t="s">
        <v>344</v>
      </c>
      <c r="B345" s="13">
        <v>45974</v>
      </c>
      <c r="C345" s="12" t="s">
        <v>1063</v>
      </c>
      <c r="D345" s="12">
        <v>553</v>
      </c>
      <c r="E345" s="12" t="s">
        <v>1214</v>
      </c>
    </row>
    <row r="346" spans="1:5" x14ac:dyDescent="0.25">
      <c r="A346" s="12" t="s">
        <v>345</v>
      </c>
      <c r="B346" s="13">
        <v>45974</v>
      </c>
      <c r="C346" s="12" t="s">
        <v>1037</v>
      </c>
      <c r="D346" s="12">
        <v>107</v>
      </c>
      <c r="E346" s="12" t="s">
        <v>1141</v>
      </c>
    </row>
    <row r="347" spans="1:5" x14ac:dyDescent="0.25">
      <c r="A347" s="12" t="s">
        <v>346</v>
      </c>
      <c r="B347" s="13">
        <v>45975</v>
      </c>
      <c r="C347" s="12" t="s">
        <v>1073</v>
      </c>
      <c r="D347" s="12">
        <v>432</v>
      </c>
      <c r="E347" s="12" t="s">
        <v>1186</v>
      </c>
    </row>
    <row r="348" spans="1:5" x14ac:dyDescent="0.25">
      <c r="A348" s="12" t="s">
        <v>347</v>
      </c>
      <c r="B348" s="13">
        <v>45976</v>
      </c>
      <c r="C348" s="12" t="s">
        <v>1096</v>
      </c>
      <c r="D348" s="12">
        <v>902</v>
      </c>
      <c r="E348" s="12" t="s">
        <v>1219</v>
      </c>
    </row>
    <row r="349" spans="1:5" x14ac:dyDescent="0.25">
      <c r="A349" s="12" t="s">
        <v>348</v>
      </c>
      <c r="B349" s="13">
        <v>45976</v>
      </c>
      <c r="C349" s="12" t="s">
        <v>1096</v>
      </c>
      <c r="D349" s="12">
        <v>390</v>
      </c>
      <c r="E349" s="12" t="s">
        <v>1223</v>
      </c>
    </row>
    <row r="350" spans="1:5" x14ac:dyDescent="0.25">
      <c r="A350" s="12" t="s">
        <v>349</v>
      </c>
      <c r="B350" s="13">
        <v>45976</v>
      </c>
      <c r="C350" s="12" t="s">
        <v>1031</v>
      </c>
      <c r="D350" s="12">
        <v>820</v>
      </c>
      <c r="E350" s="12" t="s">
        <v>1160</v>
      </c>
    </row>
    <row r="351" spans="1:5" x14ac:dyDescent="0.25">
      <c r="A351" s="12" t="s">
        <v>350</v>
      </c>
      <c r="B351" s="13">
        <v>45977</v>
      </c>
      <c r="C351" s="12" t="s">
        <v>1088</v>
      </c>
      <c r="D351" s="12">
        <v>188</v>
      </c>
      <c r="E351" s="12" t="s">
        <v>1222</v>
      </c>
    </row>
    <row r="352" spans="1:5" x14ac:dyDescent="0.25">
      <c r="A352" s="12" t="s">
        <v>351</v>
      </c>
      <c r="B352" s="13">
        <v>45978</v>
      </c>
      <c r="C352" s="12" t="s">
        <v>1075</v>
      </c>
      <c r="D352" s="12">
        <v>621</v>
      </c>
      <c r="E352" s="12" t="s">
        <v>1152</v>
      </c>
    </row>
    <row r="353" spans="1:5" x14ac:dyDescent="0.25">
      <c r="A353" s="12" t="s">
        <v>352</v>
      </c>
      <c r="B353" s="13">
        <v>45978</v>
      </c>
      <c r="C353" s="12" t="s">
        <v>1037</v>
      </c>
      <c r="D353" s="12">
        <v>843</v>
      </c>
      <c r="E353" s="12" t="s">
        <v>1139</v>
      </c>
    </row>
    <row r="354" spans="1:5" x14ac:dyDescent="0.25">
      <c r="A354" s="12" t="s">
        <v>353</v>
      </c>
      <c r="B354" s="13">
        <v>45979</v>
      </c>
      <c r="C354" s="12" t="s">
        <v>1105</v>
      </c>
      <c r="D354" s="12">
        <v>706</v>
      </c>
      <c r="E354" s="12" t="s">
        <v>1149</v>
      </c>
    </row>
    <row r="355" spans="1:5" x14ac:dyDescent="0.25">
      <c r="A355" s="12" t="s">
        <v>354</v>
      </c>
      <c r="B355" s="13">
        <v>45979</v>
      </c>
      <c r="C355" s="12" t="s">
        <v>1042</v>
      </c>
      <c r="D355" s="12">
        <v>720</v>
      </c>
      <c r="E355" s="12" t="s">
        <v>1225</v>
      </c>
    </row>
    <row r="356" spans="1:5" x14ac:dyDescent="0.25">
      <c r="A356" s="12" t="s">
        <v>355</v>
      </c>
      <c r="B356" s="13">
        <v>45979</v>
      </c>
      <c r="C356" s="12" t="s">
        <v>1090</v>
      </c>
      <c r="D356" s="12">
        <v>956</v>
      </c>
      <c r="E356" s="12" t="s">
        <v>1166</v>
      </c>
    </row>
    <row r="357" spans="1:5" x14ac:dyDescent="0.25">
      <c r="A357" s="12" t="s">
        <v>356</v>
      </c>
      <c r="B357" s="13">
        <v>45979</v>
      </c>
      <c r="C357" s="12" t="s">
        <v>1096</v>
      </c>
      <c r="D357" s="12">
        <v>432</v>
      </c>
      <c r="E357" s="12" t="s">
        <v>1156</v>
      </c>
    </row>
    <row r="358" spans="1:5" x14ac:dyDescent="0.25">
      <c r="A358" s="12" t="s">
        <v>357</v>
      </c>
      <c r="B358" s="13">
        <v>45980</v>
      </c>
      <c r="C358" s="12" t="s">
        <v>1049</v>
      </c>
      <c r="D358" s="12">
        <v>114</v>
      </c>
      <c r="E358" s="12" t="s">
        <v>1151</v>
      </c>
    </row>
    <row r="359" spans="1:5" x14ac:dyDescent="0.25">
      <c r="A359" s="12" t="s">
        <v>358</v>
      </c>
      <c r="B359" s="13">
        <v>45980</v>
      </c>
      <c r="C359" s="12" t="s">
        <v>1098</v>
      </c>
      <c r="D359" s="12">
        <v>414</v>
      </c>
      <c r="E359" s="12" t="s">
        <v>1137</v>
      </c>
    </row>
    <row r="360" spans="1:5" x14ac:dyDescent="0.25">
      <c r="A360" s="12" t="s">
        <v>359</v>
      </c>
      <c r="B360" s="13">
        <v>45980</v>
      </c>
      <c r="C360" s="12" t="s">
        <v>1045</v>
      </c>
      <c r="D360" s="12">
        <v>786</v>
      </c>
      <c r="E360" s="12" t="s">
        <v>1201</v>
      </c>
    </row>
    <row r="361" spans="1:5" x14ac:dyDescent="0.25">
      <c r="A361" s="12" t="s">
        <v>360</v>
      </c>
      <c r="B361" s="13">
        <v>45980</v>
      </c>
      <c r="C361" s="12" t="s">
        <v>1073</v>
      </c>
      <c r="D361" s="12">
        <v>716</v>
      </c>
      <c r="E361" s="12" t="s">
        <v>1145</v>
      </c>
    </row>
    <row r="362" spans="1:5" x14ac:dyDescent="0.25">
      <c r="A362" s="12" t="s">
        <v>361</v>
      </c>
      <c r="B362" s="13">
        <v>45980</v>
      </c>
      <c r="C362" s="12" t="s">
        <v>1037</v>
      </c>
      <c r="D362" s="12">
        <v>564</v>
      </c>
      <c r="E362" s="12" t="s">
        <v>1164</v>
      </c>
    </row>
    <row r="363" spans="1:5" x14ac:dyDescent="0.25">
      <c r="A363" s="12" t="s">
        <v>362</v>
      </c>
      <c r="B363" s="13">
        <v>45980</v>
      </c>
      <c r="C363" s="12" t="s">
        <v>1096</v>
      </c>
      <c r="D363" s="12">
        <v>949</v>
      </c>
      <c r="E363" s="12" t="s">
        <v>1155</v>
      </c>
    </row>
    <row r="364" spans="1:5" x14ac:dyDescent="0.25">
      <c r="A364" s="12" t="s">
        <v>363</v>
      </c>
      <c r="B364" s="13">
        <v>45980</v>
      </c>
      <c r="C364" s="12" t="s">
        <v>1078</v>
      </c>
      <c r="D364" s="12">
        <v>206</v>
      </c>
      <c r="E364" s="12" t="s">
        <v>1183</v>
      </c>
    </row>
    <row r="365" spans="1:5" x14ac:dyDescent="0.25">
      <c r="A365" s="12" t="s">
        <v>364</v>
      </c>
      <c r="B365" s="13">
        <v>45980</v>
      </c>
      <c r="C365" s="12" t="s">
        <v>1075</v>
      </c>
      <c r="D365" s="12">
        <v>797</v>
      </c>
      <c r="E365" s="12" t="s">
        <v>1207</v>
      </c>
    </row>
    <row r="366" spans="1:5" x14ac:dyDescent="0.25">
      <c r="A366" s="12" t="s">
        <v>365</v>
      </c>
      <c r="B366" s="13">
        <v>45981</v>
      </c>
      <c r="C366" s="12" t="s">
        <v>1096</v>
      </c>
      <c r="D366" s="12">
        <v>263</v>
      </c>
      <c r="E366" s="12" t="s">
        <v>1174</v>
      </c>
    </row>
    <row r="367" spans="1:5" x14ac:dyDescent="0.25">
      <c r="A367" s="12" t="s">
        <v>366</v>
      </c>
      <c r="B367" s="13">
        <v>45981</v>
      </c>
      <c r="C367" s="12" t="s">
        <v>1042</v>
      </c>
      <c r="D367" s="12">
        <v>808</v>
      </c>
      <c r="E367" s="12" t="s">
        <v>1158</v>
      </c>
    </row>
    <row r="368" spans="1:5" x14ac:dyDescent="0.25">
      <c r="A368" s="12" t="s">
        <v>367</v>
      </c>
      <c r="B368" s="13">
        <v>45981</v>
      </c>
      <c r="C368" s="12" t="s">
        <v>1055</v>
      </c>
      <c r="D368" s="12">
        <v>444</v>
      </c>
      <c r="E368" s="12" t="s">
        <v>1187</v>
      </c>
    </row>
    <row r="369" spans="1:5" x14ac:dyDescent="0.25">
      <c r="A369" s="12" t="s">
        <v>368</v>
      </c>
      <c r="B369" s="13">
        <v>45982</v>
      </c>
      <c r="C369" s="12" t="s">
        <v>1052</v>
      </c>
      <c r="D369" s="12">
        <v>621</v>
      </c>
      <c r="E369" s="12" t="s">
        <v>1137</v>
      </c>
    </row>
    <row r="370" spans="1:5" x14ac:dyDescent="0.25">
      <c r="A370" s="12" t="s">
        <v>369</v>
      </c>
      <c r="B370" s="13">
        <v>45983</v>
      </c>
      <c r="C370" s="12" t="s">
        <v>1093</v>
      </c>
      <c r="D370" s="12">
        <v>956</v>
      </c>
      <c r="E370" s="12" t="s">
        <v>1181</v>
      </c>
    </row>
    <row r="371" spans="1:5" x14ac:dyDescent="0.25">
      <c r="A371" s="12" t="s">
        <v>370</v>
      </c>
      <c r="B371" s="13">
        <v>45983</v>
      </c>
      <c r="C371" s="12" t="s">
        <v>1095</v>
      </c>
      <c r="D371" s="12">
        <v>923</v>
      </c>
      <c r="E371" s="12" t="s">
        <v>1216</v>
      </c>
    </row>
    <row r="372" spans="1:5" x14ac:dyDescent="0.25">
      <c r="A372" s="12" t="s">
        <v>371</v>
      </c>
      <c r="B372" s="13">
        <v>45983</v>
      </c>
      <c r="C372" s="12" t="s">
        <v>1082</v>
      </c>
      <c r="D372" s="12">
        <v>738</v>
      </c>
      <c r="E372" s="12" t="s">
        <v>1191</v>
      </c>
    </row>
    <row r="373" spans="1:5" x14ac:dyDescent="0.25">
      <c r="A373" s="12" t="s">
        <v>372</v>
      </c>
      <c r="B373" s="13">
        <v>45984</v>
      </c>
      <c r="C373" s="12" t="s">
        <v>1093</v>
      </c>
      <c r="D373" s="12">
        <v>291</v>
      </c>
      <c r="E373" s="12" t="s">
        <v>1199</v>
      </c>
    </row>
    <row r="374" spans="1:5" x14ac:dyDescent="0.25">
      <c r="A374" s="12" t="s">
        <v>373</v>
      </c>
      <c r="B374" s="13">
        <v>45985</v>
      </c>
      <c r="C374" s="12" t="s">
        <v>1064</v>
      </c>
      <c r="D374" s="12">
        <v>329</v>
      </c>
      <c r="E374" s="12" t="s">
        <v>1186</v>
      </c>
    </row>
    <row r="375" spans="1:5" x14ac:dyDescent="0.25">
      <c r="A375" s="12" t="s">
        <v>374</v>
      </c>
      <c r="B375" s="13">
        <v>45985</v>
      </c>
      <c r="C375" s="12" t="s">
        <v>1066</v>
      </c>
      <c r="D375" s="12">
        <v>306</v>
      </c>
      <c r="E375" s="12" t="s">
        <v>1218</v>
      </c>
    </row>
    <row r="376" spans="1:5" x14ac:dyDescent="0.25">
      <c r="A376" s="12" t="s">
        <v>375</v>
      </c>
      <c r="B376" s="13">
        <v>45985</v>
      </c>
      <c r="C376" s="12" t="s">
        <v>1053</v>
      </c>
      <c r="D376" s="12">
        <v>594</v>
      </c>
      <c r="E376" s="12" t="s">
        <v>1221</v>
      </c>
    </row>
    <row r="377" spans="1:5" x14ac:dyDescent="0.25">
      <c r="A377" s="12" t="s">
        <v>376</v>
      </c>
      <c r="B377" s="13">
        <v>45986</v>
      </c>
      <c r="C377" s="12" t="s">
        <v>1068</v>
      </c>
      <c r="D377" s="12">
        <v>117</v>
      </c>
      <c r="E377" s="12" t="s">
        <v>1228</v>
      </c>
    </row>
    <row r="378" spans="1:5" x14ac:dyDescent="0.25">
      <c r="A378" s="12" t="s">
        <v>377</v>
      </c>
      <c r="B378" s="13">
        <v>45986</v>
      </c>
      <c r="C378" s="12" t="s">
        <v>1049</v>
      </c>
      <c r="D378" s="12">
        <v>277</v>
      </c>
      <c r="E378" s="12" t="s">
        <v>1229</v>
      </c>
    </row>
    <row r="379" spans="1:5" x14ac:dyDescent="0.25">
      <c r="A379" s="12" t="s">
        <v>378</v>
      </c>
      <c r="B379" s="13">
        <v>45987</v>
      </c>
      <c r="C379" s="12" t="s">
        <v>1047</v>
      </c>
      <c r="D379" s="12">
        <v>931</v>
      </c>
      <c r="E379" s="12" t="s">
        <v>1205</v>
      </c>
    </row>
    <row r="380" spans="1:5" x14ac:dyDescent="0.25">
      <c r="A380" s="12" t="s">
        <v>379</v>
      </c>
      <c r="B380" s="13">
        <v>45987</v>
      </c>
      <c r="C380" s="12" t="s">
        <v>1058</v>
      </c>
      <c r="D380" s="12">
        <v>346</v>
      </c>
      <c r="E380" s="12" t="s">
        <v>1200</v>
      </c>
    </row>
    <row r="381" spans="1:5" x14ac:dyDescent="0.25">
      <c r="A381" s="12" t="s">
        <v>380</v>
      </c>
      <c r="B381" s="13">
        <v>45989</v>
      </c>
      <c r="C381" s="12" t="s">
        <v>1093</v>
      </c>
      <c r="D381" s="12">
        <v>514</v>
      </c>
      <c r="E381" s="12" t="s">
        <v>1176</v>
      </c>
    </row>
    <row r="382" spans="1:5" x14ac:dyDescent="0.25">
      <c r="A382" s="12" t="s">
        <v>381</v>
      </c>
      <c r="B382" s="13">
        <v>45990</v>
      </c>
      <c r="C382" s="12" t="s">
        <v>1045</v>
      </c>
      <c r="D382" s="12">
        <v>404</v>
      </c>
      <c r="E382" s="12" t="s">
        <v>1221</v>
      </c>
    </row>
    <row r="383" spans="1:5" x14ac:dyDescent="0.25">
      <c r="A383" s="12" t="s">
        <v>382</v>
      </c>
      <c r="B383" s="13">
        <v>45990</v>
      </c>
      <c r="C383" s="12" t="s">
        <v>1048</v>
      </c>
      <c r="D383" s="12">
        <v>755</v>
      </c>
      <c r="E383" s="12" t="s">
        <v>1196</v>
      </c>
    </row>
    <row r="384" spans="1:5" x14ac:dyDescent="0.25">
      <c r="A384" s="12" t="s">
        <v>383</v>
      </c>
      <c r="B384" s="13">
        <v>45990</v>
      </c>
      <c r="C384" s="12" t="s">
        <v>1066</v>
      </c>
      <c r="D384" s="12">
        <v>395</v>
      </c>
      <c r="E384" s="12" t="s">
        <v>1173</v>
      </c>
    </row>
    <row r="385" spans="1:5" x14ac:dyDescent="0.25">
      <c r="A385" s="12" t="s">
        <v>384</v>
      </c>
      <c r="B385" s="13">
        <v>45990</v>
      </c>
      <c r="C385" s="12" t="s">
        <v>1092</v>
      </c>
      <c r="D385" s="12">
        <v>620</v>
      </c>
      <c r="E385" s="12" t="s">
        <v>1191</v>
      </c>
    </row>
    <row r="386" spans="1:5" x14ac:dyDescent="0.25">
      <c r="A386" s="12" t="s">
        <v>385</v>
      </c>
      <c r="B386" s="13">
        <v>45991</v>
      </c>
      <c r="C386" s="12" t="s">
        <v>1070</v>
      </c>
      <c r="D386" s="12">
        <v>888</v>
      </c>
      <c r="E386" s="12" t="s">
        <v>1151</v>
      </c>
    </row>
    <row r="387" spans="1:5" x14ac:dyDescent="0.25">
      <c r="A387" s="12" t="s">
        <v>386</v>
      </c>
      <c r="B387" s="13">
        <v>45992</v>
      </c>
      <c r="C387" s="12" t="s">
        <v>1055</v>
      </c>
      <c r="D387" s="12">
        <v>597</v>
      </c>
      <c r="E387" s="12" t="s">
        <v>1147</v>
      </c>
    </row>
    <row r="388" spans="1:5" x14ac:dyDescent="0.25">
      <c r="A388" s="12" t="s">
        <v>387</v>
      </c>
      <c r="B388" s="13">
        <v>45992</v>
      </c>
      <c r="C388" s="12" t="s">
        <v>1063</v>
      </c>
      <c r="D388" s="12">
        <v>820</v>
      </c>
      <c r="E388" s="12" t="s">
        <v>1159</v>
      </c>
    </row>
    <row r="389" spans="1:5" x14ac:dyDescent="0.25">
      <c r="A389" s="12" t="s">
        <v>388</v>
      </c>
      <c r="B389" s="13">
        <v>45993</v>
      </c>
      <c r="C389" s="12" t="s">
        <v>1103</v>
      </c>
      <c r="D389" s="12">
        <v>140</v>
      </c>
      <c r="E389" s="12" t="s">
        <v>1206</v>
      </c>
    </row>
    <row r="390" spans="1:5" x14ac:dyDescent="0.25">
      <c r="A390" s="12" t="s">
        <v>389</v>
      </c>
      <c r="B390" s="13">
        <v>45993</v>
      </c>
      <c r="C390" s="12" t="s">
        <v>1090</v>
      </c>
      <c r="D390" s="12">
        <v>640</v>
      </c>
      <c r="E390" s="12" t="s">
        <v>1163</v>
      </c>
    </row>
    <row r="391" spans="1:5" x14ac:dyDescent="0.25">
      <c r="A391" s="12" t="s">
        <v>390</v>
      </c>
      <c r="B391" s="13">
        <v>45994</v>
      </c>
      <c r="C391" s="12" t="s">
        <v>1045</v>
      </c>
      <c r="D391" s="12">
        <v>385</v>
      </c>
      <c r="E391" s="12" t="s">
        <v>1199</v>
      </c>
    </row>
    <row r="392" spans="1:5" x14ac:dyDescent="0.25">
      <c r="A392" s="12" t="s">
        <v>391</v>
      </c>
      <c r="B392" s="13">
        <v>45994</v>
      </c>
      <c r="C392" s="12" t="s">
        <v>1092</v>
      </c>
      <c r="D392" s="12">
        <v>514</v>
      </c>
      <c r="E392" s="12" t="s">
        <v>1159</v>
      </c>
    </row>
    <row r="393" spans="1:5" x14ac:dyDescent="0.25">
      <c r="A393" s="12" t="s">
        <v>392</v>
      </c>
      <c r="B393" s="13">
        <v>45995</v>
      </c>
      <c r="C393" s="12" t="s">
        <v>1047</v>
      </c>
      <c r="D393" s="12">
        <v>661</v>
      </c>
      <c r="E393" s="12" t="s">
        <v>1190</v>
      </c>
    </row>
    <row r="394" spans="1:5" x14ac:dyDescent="0.25">
      <c r="A394" s="12" t="s">
        <v>393</v>
      </c>
      <c r="B394" s="13">
        <v>45995</v>
      </c>
      <c r="C394" s="12" t="s">
        <v>1045</v>
      </c>
      <c r="D394" s="12">
        <v>914</v>
      </c>
      <c r="E394" s="12" t="s">
        <v>1209</v>
      </c>
    </row>
    <row r="395" spans="1:5" x14ac:dyDescent="0.25">
      <c r="A395" s="12" t="s">
        <v>394</v>
      </c>
      <c r="B395" s="13">
        <v>45995</v>
      </c>
      <c r="C395" s="12" t="s">
        <v>1046</v>
      </c>
      <c r="D395" s="12">
        <v>609</v>
      </c>
      <c r="E395" s="12" t="s">
        <v>1142</v>
      </c>
    </row>
    <row r="396" spans="1:5" x14ac:dyDescent="0.25">
      <c r="A396" s="12" t="s">
        <v>395</v>
      </c>
      <c r="B396" s="13">
        <v>45995</v>
      </c>
      <c r="C396" s="12" t="s">
        <v>1034</v>
      </c>
      <c r="D396" s="12">
        <v>303</v>
      </c>
      <c r="E396" s="12" t="s">
        <v>1175</v>
      </c>
    </row>
    <row r="397" spans="1:5" x14ac:dyDescent="0.25">
      <c r="A397" s="12" t="s">
        <v>396</v>
      </c>
      <c r="B397" s="13">
        <v>45996</v>
      </c>
      <c r="C397" s="12" t="s">
        <v>1078</v>
      </c>
      <c r="D397" s="12">
        <v>343</v>
      </c>
      <c r="E397" s="12" t="s">
        <v>1182</v>
      </c>
    </row>
    <row r="398" spans="1:5" x14ac:dyDescent="0.25">
      <c r="A398" s="12" t="s">
        <v>397</v>
      </c>
      <c r="B398" s="13">
        <v>45996</v>
      </c>
      <c r="C398" s="12" t="s">
        <v>1041</v>
      </c>
      <c r="D398" s="12">
        <v>718</v>
      </c>
      <c r="E398" s="12" t="s">
        <v>1138</v>
      </c>
    </row>
    <row r="399" spans="1:5" x14ac:dyDescent="0.25">
      <c r="A399" s="12" t="s">
        <v>398</v>
      </c>
      <c r="B399" s="13">
        <v>45997</v>
      </c>
      <c r="C399" s="12" t="s">
        <v>1063</v>
      </c>
      <c r="D399" s="12">
        <v>986</v>
      </c>
      <c r="E399" s="12" t="s">
        <v>1156</v>
      </c>
    </row>
    <row r="400" spans="1:5" x14ac:dyDescent="0.25">
      <c r="A400" s="12" t="s">
        <v>399</v>
      </c>
      <c r="B400" s="13">
        <v>45997</v>
      </c>
      <c r="C400" s="12" t="s">
        <v>1034</v>
      </c>
      <c r="D400" s="12">
        <v>955</v>
      </c>
      <c r="E400" s="12" t="s">
        <v>1171</v>
      </c>
    </row>
    <row r="401" spans="1:5" x14ac:dyDescent="0.25">
      <c r="A401" s="12" t="s">
        <v>400</v>
      </c>
      <c r="B401" s="13">
        <v>45998</v>
      </c>
      <c r="C401" s="12" t="s">
        <v>1037</v>
      </c>
      <c r="D401" s="12">
        <v>569</v>
      </c>
      <c r="E401" s="12" t="s">
        <v>1185</v>
      </c>
    </row>
    <row r="402" spans="1:5" x14ac:dyDescent="0.25">
      <c r="A402" s="12" t="s">
        <v>401</v>
      </c>
      <c r="B402" s="13">
        <v>45998</v>
      </c>
      <c r="C402" s="12" t="s">
        <v>1045</v>
      </c>
      <c r="D402" s="12">
        <v>267</v>
      </c>
      <c r="E402" s="12" t="s">
        <v>1147</v>
      </c>
    </row>
    <row r="403" spans="1:5" x14ac:dyDescent="0.25">
      <c r="A403" s="12" t="s">
        <v>402</v>
      </c>
      <c r="B403" s="13">
        <v>45999</v>
      </c>
      <c r="C403" s="12" t="s">
        <v>1105</v>
      </c>
      <c r="D403" s="12">
        <v>526</v>
      </c>
      <c r="E403" s="12" t="s">
        <v>1230</v>
      </c>
    </row>
    <row r="404" spans="1:5" x14ac:dyDescent="0.25">
      <c r="A404" s="12" t="s">
        <v>403</v>
      </c>
      <c r="B404" s="13">
        <v>45999</v>
      </c>
      <c r="C404" s="12" t="s">
        <v>1075</v>
      </c>
      <c r="D404" s="12">
        <v>576</v>
      </c>
      <c r="E404" s="12" t="s">
        <v>1212</v>
      </c>
    </row>
    <row r="405" spans="1:5" x14ac:dyDescent="0.25">
      <c r="A405" s="12" t="s">
        <v>404</v>
      </c>
      <c r="B405" s="13">
        <v>45999</v>
      </c>
      <c r="C405" s="12" t="s">
        <v>1047</v>
      </c>
      <c r="D405" s="12">
        <v>900</v>
      </c>
      <c r="E405" s="12" t="s">
        <v>1191</v>
      </c>
    </row>
    <row r="406" spans="1:5" x14ac:dyDescent="0.25">
      <c r="A406" s="12" t="s">
        <v>405</v>
      </c>
      <c r="B406" s="13">
        <v>46000</v>
      </c>
      <c r="C406" s="12" t="s">
        <v>1080</v>
      </c>
      <c r="D406" s="12">
        <v>228</v>
      </c>
      <c r="E406" s="12" t="s">
        <v>1180</v>
      </c>
    </row>
    <row r="407" spans="1:5" x14ac:dyDescent="0.25">
      <c r="A407" s="12" t="s">
        <v>406</v>
      </c>
      <c r="B407" s="13">
        <v>46000</v>
      </c>
      <c r="C407" s="12" t="s">
        <v>1046</v>
      </c>
      <c r="D407" s="12">
        <v>115</v>
      </c>
      <c r="E407" s="12" t="s">
        <v>1183</v>
      </c>
    </row>
    <row r="408" spans="1:5" x14ac:dyDescent="0.25">
      <c r="A408" s="12" t="s">
        <v>407</v>
      </c>
      <c r="B408" s="13">
        <v>46001</v>
      </c>
      <c r="C408" s="12" t="s">
        <v>1039</v>
      </c>
      <c r="D408" s="12">
        <v>886</v>
      </c>
      <c r="E408" s="12" t="s">
        <v>1218</v>
      </c>
    </row>
    <row r="409" spans="1:5" x14ac:dyDescent="0.25">
      <c r="A409" s="12" t="s">
        <v>408</v>
      </c>
      <c r="B409" s="13">
        <v>46001</v>
      </c>
      <c r="C409" s="12" t="s">
        <v>1105</v>
      </c>
      <c r="D409" s="12">
        <v>214</v>
      </c>
      <c r="E409" s="12" t="s">
        <v>1194</v>
      </c>
    </row>
    <row r="410" spans="1:5" x14ac:dyDescent="0.25">
      <c r="A410" s="12" t="s">
        <v>409</v>
      </c>
      <c r="B410" s="13">
        <v>46001</v>
      </c>
      <c r="C410" s="12" t="s">
        <v>1098</v>
      </c>
      <c r="D410" s="12">
        <v>672</v>
      </c>
      <c r="E410" s="12" t="s">
        <v>1169</v>
      </c>
    </row>
    <row r="411" spans="1:5" x14ac:dyDescent="0.25">
      <c r="A411" s="12" t="s">
        <v>410</v>
      </c>
      <c r="B411" s="13">
        <v>46002</v>
      </c>
      <c r="C411" s="12" t="s">
        <v>1075</v>
      </c>
      <c r="D411" s="12">
        <v>181</v>
      </c>
      <c r="E411" s="12" t="s">
        <v>1167</v>
      </c>
    </row>
    <row r="412" spans="1:5" x14ac:dyDescent="0.25">
      <c r="A412" s="12" t="s">
        <v>411</v>
      </c>
      <c r="B412" s="13">
        <v>46002</v>
      </c>
      <c r="C412" s="12" t="s">
        <v>1042</v>
      </c>
      <c r="D412" s="12">
        <v>836</v>
      </c>
      <c r="E412" s="12" t="s">
        <v>1151</v>
      </c>
    </row>
    <row r="413" spans="1:5" x14ac:dyDescent="0.25">
      <c r="A413" s="12" t="s">
        <v>412</v>
      </c>
      <c r="B413" s="13">
        <v>46002</v>
      </c>
      <c r="C413" s="12" t="s">
        <v>1034</v>
      </c>
      <c r="D413" s="12">
        <v>899</v>
      </c>
      <c r="E413" s="12" t="s">
        <v>1198</v>
      </c>
    </row>
    <row r="414" spans="1:5" x14ac:dyDescent="0.25">
      <c r="A414" s="12" t="s">
        <v>413</v>
      </c>
      <c r="B414" s="13">
        <v>46003</v>
      </c>
      <c r="C414" s="12" t="s">
        <v>1039</v>
      </c>
      <c r="D414" s="12">
        <v>650</v>
      </c>
      <c r="E414" s="12" t="s">
        <v>1210</v>
      </c>
    </row>
    <row r="415" spans="1:5" x14ac:dyDescent="0.25">
      <c r="A415" s="12" t="s">
        <v>414</v>
      </c>
      <c r="B415" s="13">
        <v>46003</v>
      </c>
      <c r="C415" s="12" t="s">
        <v>1096</v>
      </c>
      <c r="D415" s="12">
        <v>400</v>
      </c>
      <c r="E415" s="12" t="s">
        <v>1180</v>
      </c>
    </row>
    <row r="416" spans="1:5" x14ac:dyDescent="0.25">
      <c r="A416" s="12" t="s">
        <v>415</v>
      </c>
      <c r="B416" s="13">
        <v>46003</v>
      </c>
      <c r="C416" s="12" t="s">
        <v>1096</v>
      </c>
      <c r="D416" s="12">
        <v>510</v>
      </c>
      <c r="E416" s="12" t="s">
        <v>1215</v>
      </c>
    </row>
    <row r="417" spans="1:5" x14ac:dyDescent="0.25">
      <c r="A417" s="12" t="s">
        <v>416</v>
      </c>
      <c r="B417" s="13">
        <v>46003</v>
      </c>
      <c r="C417" s="12" t="s">
        <v>1105</v>
      </c>
      <c r="D417" s="12">
        <v>615</v>
      </c>
      <c r="E417" s="12" t="s">
        <v>1172</v>
      </c>
    </row>
    <row r="418" spans="1:5" x14ac:dyDescent="0.25">
      <c r="A418" s="12" t="s">
        <v>417</v>
      </c>
      <c r="B418" s="13">
        <v>46004</v>
      </c>
      <c r="C418" s="12" t="s">
        <v>1066</v>
      </c>
      <c r="D418" s="12">
        <v>200</v>
      </c>
      <c r="E418" s="12" t="s">
        <v>1190</v>
      </c>
    </row>
    <row r="419" spans="1:5" x14ac:dyDescent="0.25">
      <c r="A419" s="12" t="s">
        <v>418</v>
      </c>
      <c r="B419" s="13">
        <v>46004</v>
      </c>
      <c r="C419" s="12" t="s">
        <v>1101</v>
      </c>
      <c r="D419" s="12">
        <v>908</v>
      </c>
      <c r="E419" s="12" t="s">
        <v>1156</v>
      </c>
    </row>
    <row r="420" spans="1:5" x14ac:dyDescent="0.25">
      <c r="A420" s="12" t="s">
        <v>419</v>
      </c>
      <c r="B420" s="13">
        <v>46005</v>
      </c>
      <c r="C420" s="12" t="s">
        <v>1084</v>
      </c>
      <c r="D420" s="12">
        <v>316</v>
      </c>
      <c r="E420" s="12" t="s">
        <v>1178</v>
      </c>
    </row>
    <row r="421" spans="1:5" x14ac:dyDescent="0.25">
      <c r="A421" s="12" t="s">
        <v>420</v>
      </c>
      <c r="B421" s="13">
        <v>46005</v>
      </c>
      <c r="C421" s="12" t="s">
        <v>1084</v>
      </c>
      <c r="D421" s="12">
        <v>529</v>
      </c>
      <c r="E421" s="12" t="s">
        <v>1136</v>
      </c>
    </row>
    <row r="422" spans="1:5" x14ac:dyDescent="0.25">
      <c r="A422" s="12" t="s">
        <v>421</v>
      </c>
      <c r="B422" s="13">
        <v>46005</v>
      </c>
      <c r="C422" s="12" t="s">
        <v>1092</v>
      </c>
      <c r="D422" s="12">
        <v>970</v>
      </c>
      <c r="E422" s="12" t="s">
        <v>1141</v>
      </c>
    </row>
    <row r="423" spans="1:5" x14ac:dyDescent="0.25">
      <c r="A423" s="12" t="s">
        <v>422</v>
      </c>
      <c r="B423" s="13">
        <v>46005</v>
      </c>
      <c r="C423" s="12" t="s">
        <v>1068</v>
      </c>
      <c r="D423" s="12">
        <v>266</v>
      </c>
      <c r="E423" s="12" t="s">
        <v>1231</v>
      </c>
    </row>
    <row r="424" spans="1:5" x14ac:dyDescent="0.25">
      <c r="A424" s="12" t="s">
        <v>423</v>
      </c>
      <c r="B424" s="13">
        <v>46006</v>
      </c>
      <c r="C424" s="12" t="s">
        <v>1045</v>
      </c>
      <c r="D424" s="12">
        <v>809</v>
      </c>
      <c r="E424" s="12" t="s">
        <v>1222</v>
      </c>
    </row>
    <row r="425" spans="1:5" x14ac:dyDescent="0.25">
      <c r="A425" s="12" t="s">
        <v>424</v>
      </c>
      <c r="B425" s="13">
        <v>46006</v>
      </c>
      <c r="C425" s="12" t="s">
        <v>1070</v>
      </c>
      <c r="D425" s="12">
        <v>999</v>
      </c>
      <c r="E425" s="12" t="s">
        <v>1186</v>
      </c>
    </row>
    <row r="426" spans="1:5" x14ac:dyDescent="0.25">
      <c r="A426" s="12" t="s">
        <v>425</v>
      </c>
      <c r="B426" s="13">
        <v>46006</v>
      </c>
      <c r="C426" s="12" t="s">
        <v>1095</v>
      </c>
      <c r="D426" s="12">
        <v>859</v>
      </c>
      <c r="E426" s="12" t="s">
        <v>1169</v>
      </c>
    </row>
    <row r="427" spans="1:5" x14ac:dyDescent="0.25">
      <c r="A427" s="12" t="s">
        <v>426</v>
      </c>
      <c r="B427" s="13">
        <v>46006</v>
      </c>
      <c r="C427" s="12" t="s">
        <v>1041</v>
      </c>
      <c r="D427" s="12">
        <v>678</v>
      </c>
      <c r="E427" s="12" t="s">
        <v>1138</v>
      </c>
    </row>
    <row r="428" spans="1:5" x14ac:dyDescent="0.25">
      <c r="A428" s="12" t="s">
        <v>427</v>
      </c>
      <c r="B428" s="13">
        <v>46006</v>
      </c>
      <c r="C428" s="12" t="s">
        <v>1086</v>
      </c>
      <c r="D428" s="12">
        <v>751</v>
      </c>
      <c r="E428" s="12" t="s">
        <v>1223</v>
      </c>
    </row>
    <row r="429" spans="1:5" x14ac:dyDescent="0.25">
      <c r="A429" s="12" t="s">
        <v>428</v>
      </c>
      <c r="B429" s="13">
        <v>46006</v>
      </c>
      <c r="C429" s="12" t="s">
        <v>1093</v>
      </c>
      <c r="D429" s="12">
        <v>934</v>
      </c>
      <c r="E429" s="12" t="s">
        <v>1208</v>
      </c>
    </row>
    <row r="430" spans="1:5" x14ac:dyDescent="0.25">
      <c r="A430" s="12" t="s">
        <v>429</v>
      </c>
      <c r="B430" s="13">
        <v>46007</v>
      </c>
      <c r="C430" s="12" t="s">
        <v>1034</v>
      </c>
      <c r="D430" s="12">
        <v>677</v>
      </c>
      <c r="E430" s="12" t="s">
        <v>1157</v>
      </c>
    </row>
    <row r="431" spans="1:5" x14ac:dyDescent="0.25">
      <c r="A431" s="12" t="s">
        <v>430</v>
      </c>
      <c r="B431" s="13">
        <v>46007</v>
      </c>
      <c r="C431" s="12" t="s">
        <v>1037</v>
      </c>
      <c r="D431" s="12">
        <v>482</v>
      </c>
      <c r="E431" s="12" t="s">
        <v>1174</v>
      </c>
    </row>
    <row r="432" spans="1:5" x14ac:dyDescent="0.25">
      <c r="A432" s="12" t="s">
        <v>431</v>
      </c>
      <c r="B432" s="13">
        <v>46008</v>
      </c>
      <c r="C432" s="12" t="s">
        <v>1046</v>
      </c>
      <c r="D432" s="12">
        <v>391</v>
      </c>
      <c r="E432" s="12" t="s">
        <v>1172</v>
      </c>
    </row>
    <row r="433" spans="1:5" x14ac:dyDescent="0.25">
      <c r="A433" s="12" t="s">
        <v>432</v>
      </c>
      <c r="B433" s="13">
        <v>46008</v>
      </c>
      <c r="C433" s="12" t="s">
        <v>1080</v>
      </c>
      <c r="D433" s="12">
        <v>893</v>
      </c>
      <c r="E433" s="12" t="s">
        <v>1211</v>
      </c>
    </row>
    <row r="434" spans="1:5" x14ac:dyDescent="0.25">
      <c r="A434" s="12" t="s">
        <v>433</v>
      </c>
      <c r="B434" s="13">
        <v>46008</v>
      </c>
      <c r="C434" s="12" t="s">
        <v>1080</v>
      </c>
      <c r="D434" s="12">
        <v>317</v>
      </c>
      <c r="E434" s="12" t="s">
        <v>1206</v>
      </c>
    </row>
    <row r="435" spans="1:5" x14ac:dyDescent="0.25">
      <c r="A435" s="12" t="s">
        <v>434</v>
      </c>
      <c r="B435" s="13">
        <v>46009</v>
      </c>
      <c r="C435" s="12" t="s">
        <v>1070</v>
      </c>
      <c r="D435" s="12">
        <v>347</v>
      </c>
      <c r="E435" s="12" t="s">
        <v>1143</v>
      </c>
    </row>
    <row r="436" spans="1:5" x14ac:dyDescent="0.25">
      <c r="A436" s="12" t="s">
        <v>435</v>
      </c>
      <c r="B436" s="13">
        <v>46009</v>
      </c>
      <c r="C436" s="12" t="s">
        <v>1090</v>
      </c>
      <c r="D436" s="12">
        <v>813</v>
      </c>
      <c r="E436" s="12" t="s">
        <v>1145</v>
      </c>
    </row>
    <row r="437" spans="1:5" x14ac:dyDescent="0.25">
      <c r="A437" s="12" t="s">
        <v>436</v>
      </c>
      <c r="B437" s="13">
        <v>46009</v>
      </c>
      <c r="C437" s="12" t="s">
        <v>1063</v>
      </c>
      <c r="D437" s="12">
        <v>627</v>
      </c>
      <c r="E437" s="12" t="s">
        <v>1141</v>
      </c>
    </row>
    <row r="438" spans="1:5" x14ac:dyDescent="0.25">
      <c r="A438" s="12" t="s">
        <v>437</v>
      </c>
      <c r="B438" s="13">
        <v>46009</v>
      </c>
      <c r="C438" s="12" t="s">
        <v>1103</v>
      </c>
      <c r="D438" s="12">
        <v>280</v>
      </c>
      <c r="E438" s="12" t="s">
        <v>1191</v>
      </c>
    </row>
    <row r="439" spans="1:5" x14ac:dyDescent="0.25">
      <c r="A439" s="12" t="s">
        <v>438</v>
      </c>
      <c r="B439" s="13">
        <v>46010</v>
      </c>
      <c r="C439" s="12" t="s">
        <v>1041</v>
      </c>
      <c r="D439" s="12">
        <v>547</v>
      </c>
      <c r="E439" s="12" t="s">
        <v>1182</v>
      </c>
    </row>
    <row r="440" spans="1:5" x14ac:dyDescent="0.25">
      <c r="A440" s="12" t="s">
        <v>439</v>
      </c>
      <c r="B440" s="13">
        <v>46010</v>
      </c>
      <c r="C440" s="12" t="s">
        <v>1039</v>
      </c>
      <c r="D440" s="12">
        <v>669</v>
      </c>
      <c r="E440" s="12" t="s">
        <v>1175</v>
      </c>
    </row>
    <row r="441" spans="1:5" x14ac:dyDescent="0.25">
      <c r="A441" s="12" t="s">
        <v>440</v>
      </c>
      <c r="B441" s="13">
        <v>46010</v>
      </c>
      <c r="C441" s="12" t="s">
        <v>1045</v>
      </c>
      <c r="D441" s="12">
        <v>263</v>
      </c>
      <c r="E441" s="12" t="s">
        <v>1138</v>
      </c>
    </row>
    <row r="442" spans="1:5" x14ac:dyDescent="0.25">
      <c r="A442" s="12" t="s">
        <v>441</v>
      </c>
      <c r="B442" s="13">
        <v>46010</v>
      </c>
      <c r="C442" s="12" t="s">
        <v>1061</v>
      </c>
      <c r="D442" s="12">
        <v>781</v>
      </c>
      <c r="E442" s="12" t="s">
        <v>1175</v>
      </c>
    </row>
    <row r="443" spans="1:5" x14ac:dyDescent="0.25">
      <c r="A443" s="12" t="s">
        <v>442</v>
      </c>
      <c r="B443" s="13">
        <v>46011</v>
      </c>
      <c r="C443" s="12" t="s">
        <v>1103</v>
      </c>
      <c r="D443" s="12">
        <v>627</v>
      </c>
      <c r="E443" s="12" t="s">
        <v>1151</v>
      </c>
    </row>
    <row r="444" spans="1:5" x14ac:dyDescent="0.25">
      <c r="A444" s="12" t="s">
        <v>443</v>
      </c>
      <c r="B444" s="13">
        <v>46011</v>
      </c>
      <c r="C444" s="12" t="s">
        <v>1053</v>
      </c>
      <c r="D444" s="12">
        <v>849</v>
      </c>
      <c r="E444" s="12" t="s">
        <v>1170</v>
      </c>
    </row>
    <row r="445" spans="1:5" x14ac:dyDescent="0.25">
      <c r="A445" s="12" t="s">
        <v>444</v>
      </c>
      <c r="B445" s="13">
        <v>46012</v>
      </c>
      <c r="C445" s="12" t="s">
        <v>1105</v>
      </c>
      <c r="D445" s="12">
        <v>209</v>
      </c>
      <c r="E445" s="12" t="s">
        <v>1198</v>
      </c>
    </row>
    <row r="446" spans="1:5" x14ac:dyDescent="0.25">
      <c r="A446" s="12" t="s">
        <v>445</v>
      </c>
      <c r="B446" s="13">
        <v>46012</v>
      </c>
      <c r="C446" s="12" t="s">
        <v>1092</v>
      </c>
      <c r="D446" s="12">
        <v>805</v>
      </c>
      <c r="E446" s="12" t="s">
        <v>1137</v>
      </c>
    </row>
    <row r="447" spans="1:5" x14ac:dyDescent="0.25">
      <c r="A447" s="12" t="s">
        <v>446</v>
      </c>
      <c r="B447" s="13">
        <v>46012</v>
      </c>
      <c r="C447" s="12" t="s">
        <v>1061</v>
      </c>
      <c r="D447" s="12">
        <v>408</v>
      </c>
      <c r="E447" s="12" t="s">
        <v>1139</v>
      </c>
    </row>
    <row r="448" spans="1:5" x14ac:dyDescent="0.25">
      <c r="A448" s="12" t="s">
        <v>447</v>
      </c>
      <c r="B448" s="13">
        <v>46012</v>
      </c>
      <c r="C448" s="12" t="s">
        <v>1069</v>
      </c>
      <c r="D448" s="12">
        <v>412</v>
      </c>
      <c r="E448" s="12" t="s">
        <v>1205</v>
      </c>
    </row>
    <row r="449" spans="1:5" x14ac:dyDescent="0.25">
      <c r="A449" s="12" t="s">
        <v>448</v>
      </c>
      <c r="B449" s="13">
        <v>46012</v>
      </c>
      <c r="C449" s="12" t="s">
        <v>1055</v>
      </c>
      <c r="D449" s="12">
        <v>935</v>
      </c>
      <c r="E449" s="12" t="s">
        <v>1159</v>
      </c>
    </row>
    <row r="450" spans="1:5" x14ac:dyDescent="0.25">
      <c r="A450" s="12" t="s">
        <v>449</v>
      </c>
      <c r="B450" s="13">
        <v>46012</v>
      </c>
      <c r="C450" s="12" t="s">
        <v>1041</v>
      </c>
      <c r="D450" s="12">
        <v>193</v>
      </c>
      <c r="E450" s="12" t="s">
        <v>1164</v>
      </c>
    </row>
    <row r="451" spans="1:5" x14ac:dyDescent="0.25">
      <c r="A451" s="12" t="s">
        <v>450</v>
      </c>
      <c r="B451" s="13">
        <v>46013</v>
      </c>
      <c r="C451" s="12" t="s">
        <v>1042</v>
      </c>
      <c r="D451" s="12">
        <v>814</v>
      </c>
      <c r="E451" s="12" t="s">
        <v>1220</v>
      </c>
    </row>
    <row r="452" spans="1:5" x14ac:dyDescent="0.25">
      <c r="A452" s="12" t="s">
        <v>451</v>
      </c>
      <c r="B452" s="13">
        <v>46013</v>
      </c>
      <c r="C452" s="12" t="s">
        <v>1063</v>
      </c>
      <c r="D452" s="12">
        <v>207</v>
      </c>
      <c r="E452" s="12" t="s">
        <v>1206</v>
      </c>
    </row>
    <row r="453" spans="1:5" x14ac:dyDescent="0.25">
      <c r="A453" s="12" t="s">
        <v>452</v>
      </c>
      <c r="B453" s="13">
        <v>46013</v>
      </c>
      <c r="C453" s="12" t="s">
        <v>1061</v>
      </c>
      <c r="D453" s="12">
        <v>304</v>
      </c>
      <c r="E453" s="12" t="s">
        <v>1158</v>
      </c>
    </row>
    <row r="454" spans="1:5" x14ac:dyDescent="0.25">
      <c r="A454" s="12" t="s">
        <v>453</v>
      </c>
      <c r="B454" s="13">
        <v>46013</v>
      </c>
      <c r="C454" s="12" t="s">
        <v>1075</v>
      </c>
      <c r="D454" s="12">
        <v>964</v>
      </c>
      <c r="E454" s="12" t="s">
        <v>1139</v>
      </c>
    </row>
    <row r="455" spans="1:5" x14ac:dyDescent="0.25">
      <c r="A455" s="12" t="s">
        <v>454</v>
      </c>
      <c r="B455" s="13">
        <v>46014</v>
      </c>
      <c r="C455" s="12" t="s">
        <v>1101</v>
      </c>
      <c r="D455" s="12">
        <v>666</v>
      </c>
      <c r="E455" s="12" t="s">
        <v>1200</v>
      </c>
    </row>
    <row r="456" spans="1:5" x14ac:dyDescent="0.25">
      <c r="A456" s="12" t="s">
        <v>455</v>
      </c>
      <c r="B456" s="13">
        <v>46014</v>
      </c>
      <c r="C456" s="12" t="s">
        <v>1093</v>
      </c>
      <c r="D456" s="12">
        <v>273</v>
      </c>
      <c r="E456" s="12" t="s">
        <v>1193</v>
      </c>
    </row>
    <row r="457" spans="1:5" x14ac:dyDescent="0.25">
      <c r="A457" s="12" t="s">
        <v>456</v>
      </c>
      <c r="B457" s="13">
        <v>46015</v>
      </c>
      <c r="C457" s="12" t="s">
        <v>1061</v>
      </c>
      <c r="D457" s="12">
        <v>421</v>
      </c>
      <c r="E457" s="12" t="s">
        <v>1216</v>
      </c>
    </row>
    <row r="458" spans="1:5" x14ac:dyDescent="0.25">
      <c r="A458" s="12" t="s">
        <v>457</v>
      </c>
      <c r="B458" s="13">
        <v>46015</v>
      </c>
      <c r="C458" s="12" t="s">
        <v>1092</v>
      </c>
      <c r="D458" s="12">
        <v>665</v>
      </c>
      <c r="E458" s="12" t="s">
        <v>1213</v>
      </c>
    </row>
    <row r="459" spans="1:5" x14ac:dyDescent="0.25">
      <c r="A459" s="12" t="s">
        <v>458</v>
      </c>
      <c r="B459" s="13">
        <v>46015</v>
      </c>
      <c r="C459" s="12" t="s">
        <v>1084</v>
      </c>
      <c r="D459" s="12">
        <v>307</v>
      </c>
      <c r="E459" s="12" t="s">
        <v>1139</v>
      </c>
    </row>
    <row r="460" spans="1:5" x14ac:dyDescent="0.25">
      <c r="A460" s="12" t="s">
        <v>459</v>
      </c>
      <c r="B460" s="13">
        <v>46016</v>
      </c>
      <c r="C460" s="12" t="s">
        <v>1042</v>
      </c>
      <c r="D460" s="12">
        <v>820</v>
      </c>
      <c r="E460" s="12" t="s">
        <v>1218</v>
      </c>
    </row>
    <row r="461" spans="1:5" x14ac:dyDescent="0.25">
      <c r="A461" s="12" t="s">
        <v>460</v>
      </c>
      <c r="B461" s="13">
        <v>46016</v>
      </c>
      <c r="C461" s="12" t="s">
        <v>1064</v>
      </c>
      <c r="D461" s="12">
        <v>570</v>
      </c>
      <c r="E461" s="12" t="s">
        <v>1175</v>
      </c>
    </row>
    <row r="462" spans="1:5" x14ac:dyDescent="0.25">
      <c r="A462" s="12" t="s">
        <v>461</v>
      </c>
      <c r="B462" s="13">
        <v>46017</v>
      </c>
      <c r="C462" s="12" t="s">
        <v>1082</v>
      </c>
      <c r="D462" s="12">
        <v>433</v>
      </c>
      <c r="E462" s="12" t="s">
        <v>1183</v>
      </c>
    </row>
    <row r="463" spans="1:5" x14ac:dyDescent="0.25">
      <c r="A463" s="12" t="s">
        <v>462</v>
      </c>
      <c r="B463" s="13">
        <v>46018</v>
      </c>
      <c r="C463" s="12" t="s">
        <v>1084</v>
      </c>
      <c r="D463" s="12">
        <v>237</v>
      </c>
      <c r="E463" s="12" t="s">
        <v>1133</v>
      </c>
    </row>
    <row r="464" spans="1:5" x14ac:dyDescent="0.25">
      <c r="A464" s="12" t="s">
        <v>463</v>
      </c>
      <c r="B464" s="13">
        <v>46019</v>
      </c>
      <c r="C464" s="12" t="s">
        <v>1064</v>
      </c>
      <c r="D464" s="12">
        <v>513</v>
      </c>
      <c r="E464" s="12" t="s">
        <v>1168</v>
      </c>
    </row>
    <row r="465" spans="1:5" x14ac:dyDescent="0.25">
      <c r="A465" s="12" t="s">
        <v>464</v>
      </c>
      <c r="B465" s="13">
        <v>46019</v>
      </c>
      <c r="C465" s="12" t="s">
        <v>1061</v>
      </c>
      <c r="D465" s="12">
        <v>565</v>
      </c>
      <c r="E465" s="12" t="s">
        <v>1214</v>
      </c>
    </row>
    <row r="466" spans="1:5" x14ac:dyDescent="0.25">
      <c r="A466" s="12" t="s">
        <v>465</v>
      </c>
      <c r="B466" s="13">
        <v>46019</v>
      </c>
      <c r="C466" s="12" t="s">
        <v>1105</v>
      </c>
      <c r="D466" s="12">
        <v>176</v>
      </c>
      <c r="E466" s="12" t="s">
        <v>1209</v>
      </c>
    </row>
    <row r="467" spans="1:5" x14ac:dyDescent="0.25">
      <c r="A467" s="12" t="s">
        <v>466</v>
      </c>
      <c r="B467" s="13">
        <v>46019</v>
      </c>
      <c r="C467" s="12" t="s">
        <v>1034</v>
      </c>
      <c r="D467" s="12">
        <v>991</v>
      </c>
      <c r="E467" s="12" t="s">
        <v>1226</v>
      </c>
    </row>
    <row r="468" spans="1:5" x14ac:dyDescent="0.25">
      <c r="A468" s="12" t="s">
        <v>467</v>
      </c>
      <c r="B468" s="13">
        <v>46020</v>
      </c>
      <c r="C468" s="12" t="s">
        <v>1045</v>
      </c>
      <c r="D468" s="12">
        <v>313</v>
      </c>
      <c r="E468" s="12" t="s">
        <v>1198</v>
      </c>
    </row>
    <row r="469" spans="1:5" x14ac:dyDescent="0.25">
      <c r="A469" s="12" t="s">
        <v>468</v>
      </c>
      <c r="B469" s="13">
        <v>46020</v>
      </c>
      <c r="C469" s="12" t="s">
        <v>1066</v>
      </c>
      <c r="D469" s="12">
        <v>169</v>
      </c>
      <c r="E469" s="12" t="s">
        <v>1170</v>
      </c>
    </row>
    <row r="470" spans="1:5" x14ac:dyDescent="0.25">
      <c r="A470" s="12" t="s">
        <v>469</v>
      </c>
      <c r="B470" s="13">
        <v>46021</v>
      </c>
      <c r="C470" s="12" t="s">
        <v>1082</v>
      </c>
      <c r="D470" s="12">
        <v>778</v>
      </c>
      <c r="E470" s="12" t="s">
        <v>1188</v>
      </c>
    </row>
    <row r="471" spans="1:5" x14ac:dyDescent="0.25">
      <c r="A471" s="12" t="s">
        <v>470</v>
      </c>
      <c r="B471" s="13">
        <v>46021</v>
      </c>
      <c r="C471" s="12" t="s">
        <v>1103</v>
      </c>
      <c r="D471" s="12">
        <v>477</v>
      </c>
      <c r="E471" s="12" t="s">
        <v>1160</v>
      </c>
    </row>
    <row r="472" spans="1:5" x14ac:dyDescent="0.25">
      <c r="A472" s="12" t="s">
        <v>471</v>
      </c>
      <c r="B472" s="13">
        <v>46021</v>
      </c>
      <c r="C472" s="12" t="s">
        <v>1086</v>
      </c>
      <c r="D472" s="12">
        <v>355</v>
      </c>
      <c r="E472" s="12" t="s">
        <v>1195</v>
      </c>
    </row>
    <row r="473" spans="1:5" x14ac:dyDescent="0.25">
      <c r="A473" s="12" t="s">
        <v>472</v>
      </c>
      <c r="B473" s="13">
        <v>46022</v>
      </c>
      <c r="C473" s="12" t="s">
        <v>1027</v>
      </c>
      <c r="D473" s="12">
        <v>426</v>
      </c>
      <c r="E473" s="12" t="s">
        <v>1195</v>
      </c>
    </row>
    <row r="474" spans="1:5" x14ac:dyDescent="0.25">
      <c r="A474" s="12" t="s">
        <v>473</v>
      </c>
      <c r="B474" s="13">
        <v>46022</v>
      </c>
      <c r="C474" s="12" t="s">
        <v>1042</v>
      </c>
      <c r="D474" s="12">
        <v>124</v>
      </c>
      <c r="E474" s="12" t="s">
        <v>1195</v>
      </c>
    </row>
    <row r="475" spans="1:5" x14ac:dyDescent="0.25">
      <c r="A475" s="12" t="s">
        <v>474</v>
      </c>
      <c r="B475" s="13">
        <v>46023</v>
      </c>
      <c r="C475" s="12" t="s">
        <v>1105</v>
      </c>
      <c r="D475" s="12">
        <v>226</v>
      </c>
      <c r="E475" s="12" t="s">
        <v>1170</v>
      </c>
    </row>
    <row r="476" spans="1:5" x14ac:dyDescent="0.25">
      <c r="A476" s="12" t="s">
        <v>475</v>
      </c>
      <c r="B476" s="13">
        <v>46023</v>
      </c>
      <c r="C476" s="12" t="s">
        <v>1082</v>
      </c>
      <c r="D476" s="12">
        <v>347</v>
      </c>
      <c r="E476" s="12" t="s">
        <v>1191</v>
      </c>
    </row>
    <row r="477" spans="1:5" x14ac:dyDescent="0.25">
      <c r="A477" s="12" t="s">
        <v>476</v>
      </c>
      <c r="B477" s="13">
        <v>46023</v>
      </c>
      <c r="C477" s="12" t="s">
        <v>1037</v>
      </c>
      <c r="D477" s="12">
        <v>209</v>
      </c>
      <c r="E477" s="12" t="s">
        <v>1207</v>
      </c>
    </row>
    <row r="478" spans="1:5" x14ac:dyDescent="0.25">
      <c r="A478" s="12" t="s">
        <v>477</v>
      </c>
      <c r="B478" s="13">
        <v>46024</v>
      </c>
      <c r="C478" s="12" t="s">
        <v>1088</v>
      </c>
      <c r="D478" s="12">
        <v>703</v>
      </c>
      <c r="E478" s="12" t="s">
        <v>1147</v>
      </c>
    </row>
    <row r="479" spans="1:5" x14ac:dyDescent="0.25">
      <c r="A479" s="12" t="s">
        <v>478</v>
      </c>
      <c r="B479" s="13">
        <v>46024</v>
      </c>
      <c r="C479" s="12" t="s">
        <v>1080</v>
      </c>
      <c r="D479" s="12">
        <v>650</v>
      </c>
      <c r="E479" s="12" t="s">
        <v>1144</v>
      </c>
    </row>
    <row r="480" spans="1:5" x14ac:dyDescent="0.25">
      <c r="A480" s="12" t="s">
        <v>479</v>
      </c>
      <c r="B480" s="13">
        <v>46025</v>
      </c>
      <c r="C480" s="12" t="s">
        <v>1052</v>
      </c>
      <c r="D480" s="12">
        <v>871</v>
      </c>
      <c r="E480" s="12" t="s">
        <v>1172</v>
      </c>
    </row>
    <row r="481" spans="1:5" x14ac:dyDescent="0.25">
      <c r="A481" s="12" t="s">
        <v>480</v>
      </c>
      <c r="B481" s="13">
        <v>46025</v>
      </c>
      <c r="C481" s="12" t="s">
        <v>1090</v>
      </c>
      <c r="D481" s="12">
        <v>309</v>
      </c>
      <c r="E481" s="12" t="s">
        <v>1167</v>
      </c>
    </row>
    <row r="482" spans="1:5" x14ac:dyDescent="0.25">
      <c r="A482" s="12" t="s">
        <v>481</v>
      </c>
      <c r="B482" s="13">
        <v>46026</v>
      </c>
      <c r="C482" s="12" t="s">
        <v>1046</v>
      </c>
      <c r="D482" s="12">
        <v>376</v>
      </c>
      <c r="E482" s="12" t="s">
        <v>1151</v>
      </c>
    </row>
    <row r="483" spans="1:5" x14ac:dyDescent="0.25">
      <c r="A483" s="12" t="s">
        <v>482</v>
      </c>
      <c r="B483" s="13">
        <v>46027</v>
      </c>
      <c r="C483" s="12" t="s">
        <v>1080</v>
      </c>
      <c r="D483" s="12">
        <v>119</v>
      </c>
      <c r="E483" s="12" t="s">
        <v>1185</v>
      </c>
    </row>
    <row r="484" spans="1:5" x14ac:dyDescent="0.25">
      <c r="A484" s="12" t="s">
        <v>483</v>
      </c>
      <c r="B484" s="13">
        <v>46028</v>
      </c>
      <c r="C484" s="12" t="s">
        <v>1042</v>
      </c>
      <c r="D484" s="12">
        <v>151</v>
      </c>
      <c r="E484" s="12" t="s">
        <v>1195</v>
      </c>
    </row>
    <row r="485" spans="1:5" x14ac:dyDescent="0.25">
      <c r="A485" s="12" t="s">
        <v>484</v>
      </c>
      <c r="B485" s="13">
        <v>46028</v>
      </c>
      <c r="C485" s="12" t="s">
        <v>1039</v>
      </c>
      <c r="D485" s="12">
        <v>819</v>
      </c>
      <c r="E485" s="12" t="s">
        <v>1155</v>
      </c>
    </row>
    <row r="486" spans="1:5" x14ac:dyDescent="0.25">
      <c r="A486" s="12" t="s">
        <v>485</v>
      </c>
      <c r="B486" s="13">
        <v>46028</v>
      </c>
      <c r="C486" s="12" t="s">
        <v>1048</v>
      </c>
      <c r="D486" s="12">
        <v>191</v>
      </c>
      <c r="E486" s="12" t="s">
        <v>1164</v>
      </c>
    </row>
    <row r="487" spans="1:5" x14ac:dyDescent="0.25">
      <c r="A487" s="12" t="s">
        <v>486</v>
      </c>
      <c r="B487" s="13">
        <v>46028</v>
      </c>
      <c r="C487" s="12" t="s">
        <v>1101</v>
      </c>
      <c r="D487" s="12">
        <v>521</v>
      </c>
      <c r="E487" s="12" t="s">
        <v>1180</v>
      </c>
    </row>
    <row r="488" spans="1:5" x14ac:dyDescent="0.25">
      <c r="A488" s="12" t="s">
        <v>487</v>
      </c>
      <c r="B488" s="13">
        <v>46028</v>
      </c>
      <c r="C488" s="12" t="s">
        <v>1031</v>
      </c>
      <c r="D488" s="12">
        <v>609</v>
      </c>
      <c r="E488" s="12" t="s">
        <v>1186</v>
      </c>
    </row>
    <row r="489" spans="1:5" x14ac:dyDescent="0.25">
      <c r="A489" s="12" t="s">
        <v>488</v>
      </c>
      <c r="B489" s="13">
        <v>46028</v>
      </c>
      <c r="C489" s="12" t="s">
        <v>1068</v>
      </c>
      <c r="D489" s="12">
        <v>550</v>
      </c>
      <c r="E489" s="12" t="s">
        <v>1149</v>
      </c>
    </row>
    <row r="490" spans="1:5" x14ac:dyDescent="0.25">
      <c r="A490" s="12" t="s">
        <v>489</v>
      </c>
      <c r="B490" s="13">
        <v>46029</v>
      </c>
      <c r="C490" s="12" t="s">
        <v>1101</v>
      </c>
      <c r="D490" s="12">
        <v>864</v>
      </c>
      <c r="E490" s="12" t="s">
        <v>1207</v>
      </c>
    </row>
    <row r="491" spans="1:5" x14ac:dyDescent="0.25">
      <c r="A491" s="12" t="s">
        <v>490</v>
      </c>
      <c r="B491" s="13">
        <v>46029</v>
      </c>
      <c r="C491" s="12" t="s">
        <v>1055</v>
      </c>
      <c r="D491" s="12">
        <v>583</v>
      </c>
      <c r="E491" s="12" t="s">
        <v>1201</v>
      </c>
    </row>
    <row r="492" spans="1:5" x14ac:dyDescent="0.25">
      <c r="A492" s="12" t="s">
        <v>491</v>
      </c>
      <c r="B492" s="13">
        <v>46030</v>
      </c>
      <c r="C492" s="12" t="s">
        <v>1070</v>
      </c>
      <c r="D492" s="12">
        <v>199</v>
      </c>
      <c r="E492" s="12" t="s">
        <v>1157</v>
      </c>
    </row>
    <row r="493" spans="1:5" x14ac:dyDescent="0.25">
      <c r="A493" s="12" t="s">
        <v>492</v>
      </c>
      <c r="B493" s="13">
        <v>46031</v>
      </c>
      <c r="C493" s="12" t="s">
        <v>1041</v>
      </c>
      <c r="D493" s="12">
        <v>552</v>
      </c>
      <c r="E493" s="12" t="s">
        <v>1172</v>
      </c>
    </row>
    <row r="494" spans="1:5" x14ac:dyDescent="0.25">
      <c r="A494" s="12" t="s">
        <v>493</v>
      </c>
      <c r="B494" s="13">
        <v>46031</v>
      </c>
      <c r="C494" s="12" t="s">
        <v>1080</v>
      </c>
      <c r="D494" s="12">
        <v>949</v>
      </c>
      <c r="E494" s="12" t="s">
        <v>1190</v>
      </c>
    </row>
    <row r="495" spans="1:5" x14ac:dyDescent="0.25">
      <c r="A495" s="12" t="s">
        <v>494</v>
      </c>
      <c r="B495" s="13">
        <v>46031</v>
      </c>
      <c r="C495" s="12" t="s">
        <v>1048</v>
      </c>
      <c r="D495" s="12">
        <v>471</v>
      </c>
      <c r="E495" s="12" t="s">
        <v>1209</v>
      </c>
    </row>
    <row r="496" spans="1:5" x14ac:dyDescent="0.25">
      <c r="A496" s="12" t="s">
        <v>495</v>
      </c>
      <c r="B496" s="13">
        <v>46032</v>
      </c>
      <c r="C496" s="12" t="s">
        <v>1101</v>
      </c>
      <c r="D496" s="12">
        <v>787</v>
      </c>
      <c r="E496" s="12" t="s">
        <v>1176</v>
      </c>
    </row>
    <row r="497" spans="1:5" x14ac:dyDescent="0.25">
      <c r="A497" s="12" t="s">
        <v>496</v>
      </c>
      <c r="B497" s="13">
        <v>46032</v>
      </c>
      <c r="C497" s="12" t="s">
        <v>1039</v>
      </c>
      <c r="D497" s="12">
        <v>552</v>
      </c>
      <c r="E497" s="12" t="s">
        <v>1146</v>
      </c>
    </row>
    <row r="498" spans="1:5" x14ac:dyDescent="0.25">
      <c r="A498" s="12" t="s">
        <v>497</v>
      </c>
      <c r="B498" s="13">
        <v>46033</v>
      </c>
      <c r="C498" s="12" t="s">
        <v>1078</v>
      </c>
      <c r="D498" s="12">
        <v>594</v>
      </c>
      <c r="E498" s="12" t="s">
        <v>1209</v>
      </c>
    </row>
    <row r="499" spans="1:5" x14ac:dyDescent="0.25">
      <c r="A499" s="12" t="s">
        <v>498</v>
      </c>
      <c r="B499" s="13">
        <v>46033</v>
      </c>
      <c r="C499" s="12" t="s">
        <v>1069</v>
      </c>
      <c r="D499" s="12">
        <v>946</v>
      </c>
      <c r="E499" s="12" t="s">
        <v>1198</v>
      </c>
    </row>
    <row r="500" spans="1:5" x14ac:dyDescent="0.25">
      <c r="A500" s="12" t="s">
        <v>499</v>
      </c>
      <c r="B500" s="13">
        <v>46035</v>
      </c>
      <c r="C500" s="12" t="s">
        <v>1031</v>
      </c>
      <c r="D500" s="12">
        <v>909</v>
      </c>
      <c r="E500" s="12" t="s">
        <v>1180</v>
      </c>
    </row>
    <row r="501" spans="1:5" x14ac:dyDescent="0.25">
      <c r="A501" s="12" t="s">
        <v>500</v>
      </c>
      <c r="B501" s="13">
        <v>46035</v>
      </c>
      <c r="C501" s="12" t="s">
        <v>1103</v>
      </c>
      <c r="D501" s="12">
        <v>972</v>
      </c>
      <c r="E501" s="12" t="s">
        <v>1142</v>
      </c>
    </row>
    <row r="502" spans="1:5" x14ac:dyDescent="0.25">
      <c r="A502" s="12" t="s">
        <v>501</v>
      </c>
      <c r="B502" s="13">
        <v>46035</v>
      </c>
      <c r="C502" s="12" t="s">
        <v>1053</v>
      </c>
      <c r="D502" s="12">
        <v>776</v>
      </c>
      <c r="E502" s="12" t="s">
        <v>1220</v>
      </c>
    </row>
    <row r="503" spans="1:5" x14ac:dyDescent="0.25">
      <c r="A503" s="12" t="s">
        <v>502</v>
      </c>
      <c r="B503" s="13">
        <v>46035</v>
      </c>
      <c r="C503" s="12" t="s">
        <v>1073</v>
      </c>
      <c r="D503" s="12">
        <v>194</v>
      </c>
      <c r="E503" s="12" t="s">
        <v>1140</v>
      </c>
    </row>
    <row r="504" spans="1:5" x14ac:dyDescent="0.25">
      <c r="A504" s="12" t="s">
        <v>503</v>
      </c>
      <c r="B504" s="13">
        <v>46036</v>
      </c>
      <c r="C504" s="12" t="s">
        <v>1046</v>
      </c>
      <c r="D504" s="12">
        <v>323</v>
      </c>
      <c r="E504" s="12" t="s">
        <v>1205</v>
      </c>
    </row>
    <row r="505" spans="1:5" x14ac:dyDescent="0.25">
      <c r="A505" s="12" t="s">
        <v>504</v>
      </c>
      <c r="B505" s="13">
        <v>46036</v>
      </c>
      <c r="C505" s="12" t="s">
        <v>1048</v>
      </c>
      <c r="D505" s="12">
        <v>564</v>
      </c>
      <c r="E505" s="12" t="s">
        <v>1170</v>
      </c>
    </row>
    <row r="506" spans="1:5" x14ac:dyDescent="0.25">
      <c r="A506" s="12" t="s">
        <v>505</v>
      </c>
      <c r="B506" s="13">
        <v>46037</v>
      </c>
      <c r="C506" s="12" t="s">
        <v>1088</v>
      </c>
      <c r="D506" s="12">
        <v>280</v>
      </c>
      <c r="E506" s="12" t="s">
        <v>1210</v>
      </c>
    </row>
    <row r="507" spans="1:5" x14ac:dyDescent="0.25">
      <c r="A507" s="12" t="s">
        <v>506</v>
      </c>
      <c r="B507" s="13">
        <v>46037</v>
      </c>
      <c r="C507" s="12" t="s">
        <v>1041</v>
      </c>
      <c r="D507" s="12">
        <v>773</v>
      </c>
      <c r="E507" s="12" t="s">
        <v>1182</v>
      </c>
    </row>
    <row r="508" spans="1:5" x14ac:dyDescent="0.25">
      <c r="A508" s="12" t="s">
        <v>507</v>
      </c>
      <c r="B508" s="13">
        <v>46037</v>
      </c>
      <c r="C508" s="12" t="s">
        <v>1096</v>
      </c>
      <c r="D508" s="12">
        <v>375</v>
      </c>
      <c r="E508" s="12" t="s">
        <v>1223</v>
      </c>
    </row>
    <row r="509" spans="1:5" x14ac:dyDescent="0.25">
      <c r="A509" s="12" t="s">
        <v>508</v>
      </c>
      <c r="B509" s="13">
        <v>46038</v>
      </c>
      <c r="C509" s="12" t="s">
        <v>1047</v>
      </c>
      <c r="D509" s="12">
        <v>748</v>
      </c>
      <c r="E509" s="12" t="s">
        <v>1201</v>
      </c>
    </row>
    <row r="510" spans="1:5" x14ac:dyDescent="0.25">
      <c r="A510" s="12" t="s">
        <v>509</v>
      </c>
      <c r="B510" s="13">
        <v>46038</v>
      </c>
      <c r="C510" s="12" t="s">
        <v>1092</v>
      </c>
      <c r="D510" s="12">
        <v>786</v>
      </c>
      <c r="E510" s="12" t="s">
        <v>1166</v>
      </c>
    </row>
    <row r="511" spans="1:5" x14ac:dyDescent="0.25">
      <c r="A511" s="12" t="s">
        <v>510</v>
      </c>
      <c r="B511" s="13">
        <v>46038</v>
      </c>
      <c r="C511" s="12" t="s">
        <v>1095</v>
      </c>
      <c r="D511" s="12">
        <v>580</v>
      </c>
      <c r="E511" s="12" t="s">
        <v>1149</v>
      </c>
    </row>
    <row r="512" spans="1:5" x14ac:dyDescent="0.25">
      <c r="A512" s="12" t="s">
        <v>511</v>
      </c>
      <c r="B512" s="13">
        <v>46040</v>
      </c>
      <c r="C512" s="12" t="s">
        <v>1037</v>
      </c>
      <c r="D512" s="12">
        <v>498</v>
      </c>
      <c r="E512" s="12" t="s">
        <v>1204</v>
      </c>
    </row>
    <row r="513" spans="1:5" x14ac:dyDescent="0.25">
      <c r="A513" s="12" t="s">
        <v>512</v>
      </c>
      <c r="B513" s="13">
        <v>46040</v>
      </c>
      <c r="C513" s="12" t="s">
        <v>1084</v>
      </c>
      <c r="D513" s="12">
        <v>287</v>
      </c>
      <c r="E513" s="12" t="s">
        <v>1175</v>
      </c>
    </row>
    <row r="514" spans="1:5" x14ac:dyDescent="0.25">
      <c r="A514" s="12" t="s">
        <v>513</v>
      </c>
      <c r="B514" s="13">
        <v>46041</v>
      </c>
      <c r="C514" s="12" t="s">
        <v>1086</v>
      </c>
      <c r="D514" s="12">
        <v>305</v>
      </c>
      <c r="E514" s="12" t="s">
        <v>1150</v>
      </c>
    </row>
    <row r="515" spans="1:5" x14ac:dyDescent="0.25">
      <c r="A515" s="12" t="s">
        <v>514</v>
      </c>
      <c r="B515" s="13">
        <v>46041</v>
      </c>
      <c r="C515" s="12" t="s">
        <v>1075</v>
      </c>
      <c r="D515" s="12">
        <v>940</v>
      </c>
      <c r="E515" s="12" t="s">
        <v>1156</v>
      </c>
    </row>
    <row r="516" spans="1:5" x14ac:dyDescent="0.25">
      <c r="A516" s="12" t="s">
        <v>515</v>
      </c>
      <c r="B516" s="13">
        <v>46042</v>
      </c>
      <c r="C516" s="12" t="s">
        <v>1068</v>
      </c>
      <c r="D516" s="12">
        <v>321</v>
      </c>
      <c r="E516" s="12" t="s">
        <v>1203</v>
      </c>
    </row>
    <row r="517" spans="1:5" x14ac:dyDescent="0.25">
      <c r="A517" s="12" t="s">
        <v>516</v>
      </c>
      <c r="B517" s="13">
        <v>46043</v>
      </c>
      <c r="C517" s="12" t="s">
        <v>1045</v>
      </c>
      <c r="D517" s="12">
        <v>752</v>
      </c>
      <c r="E517" s="12" t="s">
        <v>1180</v>
      </c>
    </row>
    <row r="518" spans="1:5" x14ac:dyDescent="0.25">
      <c r="A518" s="12" t="s">
        <v>517</v>
      </c>
      <c r="B518" s="13">
        <v>46043</v>
      </c>
      <c r="C518" s="12" t="s">
        <v>1037</v>
      </c>
      <c r="D518" s="12">
        <v>856</v>
      </c>
      <c r="E518" s="12" t="s">
        <v>1214</v>
      </c>
    </row>
    <row r="519" spans="1:5" x14ac:dyDescent="0.25">
      <c r="A519" s="12" t="s">
        <v>518</v>
      </c>
      <c r="B519" s="13">
        <v>46044</v>
      </c>
      <c r="C519" s="12" t="s">
        <v>1098</v>
      </c>
      <c r="D519" s="12">
        <v>701</v>
      </c>
      <c r="E519" s="12" t="s">
        <v>1208</v>
      </c>
    </row>
    <row r="520" spans="1:5" x14ac:dyDescent="0.25">
      <c r="A520" s="12" t="s">
        <v>519</v>
      </c>
      <c r="B520" s="13">
        <v>46044</v>
      </c>
      <c r="C520" s="12" t="s">
        <v>1096</v>
      </c>
      <c r="D520" s="12">
        <v>321</v>
      </c>
      <c r="E520" s="12" t="s">
        <v>1182</v>
      </c>
    </row>
    <row r="521" spans="1:5" x14ac:dyDescent="0.25">
      <c r="A521" s="12" t="s">
        <v>520</v>
      </c>
      <c r="B521" s="13">
        <v>46044</v>
      </c>
      <c r="C521" s="12" t="s">
        <v>1082</v>
      </c>
      <c r="D521" s="12">
        <v>414</v>
      </c>
      <c r="E521" s="12" t="s">
        <v>1133</v>
      </c>
    </row>
    <row r="522" spans="1:5" x14ac:dyDescent="0.25">
      <c r="A522" s="12" t="s">
        <v>521</v>
      </c>
      <c r="B522" s="13">
        <v>46045</v>
      </c>
      <c r="C522" s="12" t="s">
        <v>1068</v>
      </c>
      <c r="D522" s="12">
        <v>565</v>
      </c>
      <c r="E522" s="12" t="s">
        <v>1176</v>
      </c>
    </row>
    <row r="523" spans="1:5" x14ac:dyDescent="0.25">
      <c r="A523" s="12" t="s">
        <v>522</v>
      </c>
      <c r="B523" s="13">
        <v>46046</v>
      </c>
      <c r="C523" s="12" t="s">
        <v>1055</v>
      </c>
      <c r="D523" s="12">
        <v>458</v>
      </c>
      <c r="E523" s="12" t="s">
        <v>1141</v>
      </c>
    </row>
    <row r="524" spans="1:5" x14ac:dyDescent="0.25">
      <c r="A524" s="12" t="s">
        <v>523</v>
      </c>
      <c r="B524" s="13">
        <v>46046</v>
      </c>
      <c r="C524" s="12" t="s">
        <v>1093</v>
      </c>
      <c r="D524" s="12">
        <v>979</v>
      </c>
      <c r="E524" s="12" t="s">
        <v>1149</v>
      </c>
    </row>
    <row r="525" spans="1:5" x14ac:dyDescent="0.25">
      <c r="A525" s="12" t="s">
        <v>524</v>
      </c>
      <c r="B525" s="13">
        <v>46046</v>
      </c>
      <c r="C525" s="12" t="s">
        <v>1045</v>
      </c>
      <c r="D525" s="12">
        <v>932</v>
      </c>
      <c r="E525" s="12" t="s">
        <v>1151</v>
      </c>
    </row>
    <row r="526" spans="1:5" x14ac:dyDescent="0.25">
      <c r="A526" s="12" t="s">
        <v>525</v>
      </c>
      <c r="B526" s="13">
        <v>46047</v>
      </c>
      <c r="C526" s="12" t="s">
        <v>1093</v>
      </c>
      <c r="D526" s="12">
        <v>116</v>
      </c>
      <c r="E526" s="12" t="s">
        <v>1187</v>
      </c>
    </row>
    <row r="527" spans="1:5" x14ac:dyDescent="0.25">
      <c r="A527" s="12" t="s">
        <v>526</v>
      </c>
      <c r="B527" s="13">
        <v>46047</v>
      </c>
      <c r="C527" s="12" t="s">
        <v>1090</v>
      </c>
      <c r="D527" s="12">
        <v>595</v>
      </c>
      <c r="E527" s="12" t="s">
        <v>1152</v>
      </c>
    </row>
    <row r="528" spans="1:5" x14ac:dyDescent="0.25">
      <c r="A528" s="12" t="s">
        <v>527</v>
      </c>
      <c r="B528" s="13">
        <v>46048</v>
      </c>
      <c r="C528" s="12" t="s">
        <v>1031</v>
      </c>
      <c r="D528" s="12">
        <v>806</v>
      </c>
      <c r="E528" s="12" t="s">
        <v>1143</v>
      </c>
    </row>
    <row r="529" spans="1:5" x14ac:dyDescent="0.25">
      <c r="A529" s="12" t="s">
        <v>528</v>
      </c>
      <c r="B529" s="13">
        <v>46048</v>
      </c>
      <c r="C529" s="12" t="s">
        <v>1070</v>
      </c>
      <c r="D529" s="12">
        <v>194</v>
      </c>
      <c r="E529" s="12" t="s">
        <v>1166</v>
      </c>
    </row>
    <row r="530" spans="1:5" x14ac:dyDescent="0.25">
      <c r="A530" s="12" t="s">
        <v>529</v>
      </c>
      <c r="B530" s="13">
        <v>46048</v>
      </c>
      <c r="C530" s="12" t="s">
        <v>1101</v>
      </c>
      <c r="D530" s="12">
        <v>139</v>
      </c>
      <c r="E530" s="12" t="s">
        <v>1203</v>
      </c>
    </row>
    <row r="531" spans="1:5" x14ac:dyDescent="0.25">
      <c r="A531" s="12" t="s">
        <v>530</v>
      </c>
      <c r="B531" s="13">
        <v>46048</v>
      </c>
      <c r="C531" s="12" t="s">
        <v>1037</v>
      </c>
      <c r="D531" s="12">
        <v>210</v>
      </c>
      <c r="E531" s="12" t="s">
        <v>1153</v>
      </c>
    </row>
    <row r="532" spans="1:5" x14ac:dyDescent="0.25">
      <c r="A532" s="12" t="s">
        <v>531</v>
      </c>
      <c r="B532" s="13">
        <v>46048</v>
      </c>
      <c r="C532" s="12" t="s">
        <v>1073</v>
      </c>
      <c r="D532" s="12">
        <v>752</v>
      </c>
      <c r="E532" s="12" t="s">
        <v>1176</v>
      </c>
    </row>
    <row r="533" spans="1:5" x14ac:dyDescent="0.25">
      <c r="A533" s="12" t="s">
        <v>532</v>
      </c>
      <c r="B533" s="13">
        <v>46049</v>
      </c>
      <c r="C533" s="12" t="s">
        <v>1052</v>
      </c>
      <c r="D533" s="12">
        <v>113</v>
      </c>
      <c r="E533" s="12" t="s">
        <v>1186</v>
      </c>
    </row>
    <row r="534" spans="1:5" x14ac:dyDescent="0.25">
      <c r="A534" s="12" t="s">
        <v>533</v>
      </c>
      <c r="B534" s="13">
        <v>46049</v>
      </c>
      <c r="C534" s="12" t="s">
        <v>1042</v>
      </c>
      <c r="D534" s="12">
        <v>314</v>
      </c>
      <c r="E534" s="12" t="s">
        <v>1133</v>
      </c>
    </row>
    <row r="535" spans="1:5" x14ac:dyDescent="0.25">
      <c r="A535" s="12" t="s">
        <v>534</v>
      </c>
      <c r="B535" s="13">
        <v>46050</v>
      </c>
      <c r="C535" s="12" t="s">
        <v>1031</v>
      </c>
      <c r="D535" s="12">
        <v>232</v>
      </c>
      <c r="E535" s="12" t="s">
        <v>1150</v>
      </c>
    </row>
    <row r="536" spans="1:5" x14ac:dyDescent="0.25">
      <c r="A536" s="12" t="s">
        <v>535</v>
      </c>
      <c r="B536" s="13">
        <v>46051</v>
      </c>
      <c r="C536" s="12" t="s">
        <v>1037</v>
      </c>
      <c r="D536" s="12">
        <v>807</v>
      </c>
      <c r="E536" s="12" t="s">
        <v>1201</v>
      </c>
    </row>
    <row r="537" spans="1:5" x14ac:dyDescent="0.25">
      <c r="A537" s="12" t="s">
        <v>536</v>
      </c>
      <c r="B537" s="13">
        <v>46051</v>
      </c>
      <c r="C537" s="12" t="s">
        <v>1078</v>
      </c>
      <c r="D537" s="12">
        <v>885</v>
      </c>
      <c r="E537" s="12" t="s">
        <v>1180</v>
      </c>
    </row>
    <row r="538" spans="1:5" x14ac:dyDescent="0.25">
      <c r="A538" s="12" t="s">
        <v>537</v>
      </c>
      <c r="B538" s="13">
        <v>46051</v>
      </c>
      <c r="C538" s="12" t="s">
        <v>1078</v>
      </c>
      <c r="D538" s="12">
        <v>819</v>
      </c>
      <c r="E538" s="12" t="s">
        <v>1213</v>
      </c>
    </row>
    <row r="539" spans="1:5" x14ac:dyDescent="0.25">
      <c r="A539" s="12" t="s">
        <v>538</v>
      </c>
      <c r="B539" s="13">
        <v>46051</v>
      </c>
      <c r="C539" s="12" t="s">
        <v>1086</v>
      </c>
      <c r="D539" s="12">
        <v>689</v>
      </c>
      <c r="E539" s="12" t="s">
        <v>1133</v>
      </c>
    </row>
    <row r="540" spans="1:5" x14ac:dyDescent="0.25">
      <c r="A540" s="12" t="s">
        <v>539</v>
      </c>
      <c r="B540" s="13">
        <v>46052</v>
      </c>
      <c r="C540" s="12" t="s">
        <v>1092</v>
      </c>
      <c r="D540" s="12">
        <v>304</v>
      </c>
      <c r="E540" s="12" t="s">
        <v>1180</v>
      </c>
    </row>
    <row r="541" spans="1:5" x14ac:dyDescent="0.25">
      <c r="A541" s="12" t="s">
        <v>540</v>
      </c>
      <c r="B541" s="13">
        <v>46052</v>
      </c>
      <c r="C541" s="12" t="s">
        <v>1064</v>
      </c>
      <c r="D541" s="12">
        <v>933</v>
      </c>
      <c r="E541" s="12" t="s">
        <v>1189</v>
      </c>
    </row>
    <row r="542" spans="1:5" x14ac:dyDescent="0.25">
      <c r="A542" s="12" t="s">
        <v>541</v>
      </c>
      <c r="B542" s="13">
        <v>46052</v>
      </c>
      <c r="C542" s="12" t="s">
        <v>1078</v>
      </c>
      <c r="D542" s="12">
        <v>763</v>
      </c>
      <c r="E542" s="12" t="s">
        <v>1200</v>
      </c>
    </row>
    <row r="543" spans="1:5" x14ac:dyDescent="0.25">
      <c r="A543" s="12" t="s">
        <v>542</v>
      </c>
      <c r="B543" s="13">
        <v>46053</v>
      </c>
      <c r="C543" s="12" t="s">
        <v>1093</v>
      </c>
      <c r="D543" s="12">
        <v>293</v>
      </c>
      <c r="E543" s="12" t="s">
        <v>1173</v>
      </c>
    </row>
    <row r="544" spans="1:5" x14ac:dyDescent="0.25">
      <c r="A544" s="12" t="s">
        <v>543</v>
      </c>
      <c r="B544" s="13">
        <v>46054</v>
      </c>
      <c r="C544" s="12" t="s">
        <v>1049</v>
      </c>
      <c r="D544" s="12">
        <v>978</v>
      </c>
      <c r="E544" s="12" t="s">
        <v>1193</v>
      </c>
    </row>
    <row r="545" spans="1:5" x14ac:dyDescent="0.25">
      <c r="A545" s="12" t="s">
        <v>544</v>
      </c>
      <c r="B545" s="13">
        <v>46054</v>
      </c>
      <c r="C545" s="12" t="s">
        <v>1086</v>
      </c>
      <c r="D545" s="12">
        <v>267</v>
      </c>
      <c r="E545" s="12" t="s">
        <v>1176</v>
      </c>
    </row>
    <row r="546" spans="1:5" x14ac:dyDescent="0.25">
      <c r="A546" s="12" t="s">
        <v>545</v>
      </c>
      <c r="B546" s="13">
        <v>46054</v>
      </c>
      <c r="C546" s="12" t="s">
        <v>1031</v>
      </c>
      <c r="D546" s="12">
        <v>393</v>
      </c>
      <c r="E546" s="12" t="s">
        <v>1188</v>
      </c>
    </row>
    <row r="547" spans="1:5" x14ac:dyDescent="0.25">
      <c r="A547" s="12" t="s">
        <v>546</v>
      </c>
      <c r="B547" s="13">
        <v>46055</v>
      </c>
      <c r="C547" s="12" t="s">
        <v>1090</v>
      </c>
      <c r="D547" s="12">
        <v>689</v>
      </c>
      <c r="E547" s="12" t="s">
        <v>1184</v>
      </c>
    </row>
    <row r="548" spans="1:5" x14ac:dyDescent="0.25">
      <c r="A548" s="12" t="s">
        <v>547</v>
      </c>
      <c r="B548" s="13">
        <v>46055</v>
      </c>
      <c r="C548" s="12" t="s">
        <v>1039</v>
      </c>
      <c r="D548" s="12">
        <v>891</v>
      </c>
      <c r="E548" s="12" t="s">
        <v>1138</v>
      </c>
    </row>
    <row r="549" spans="1:5" x14ac:dyDescent="0.25">
      <c r="A549" s="12" t="s">
        <v>548</v>
      </c>
      <c r="B549" s="13">
        <v>46055</v>
      </c>
      <c r="C549" s="12" t="s">
        <v>1041</v>
      </c>
      <c r="D549" s="12">
        <v>633</v>
      </c>
      <c r="E549" s="12" t="s">
        <v>1159</v>
      </c>
    </row>
    <row r="550" spans="1:5" x14ac:dyDescent="0.25">
      <c r="A550" s="12" t="s">
        <v>549</v>
      </c>
      <c r="B550" s="13">
        <v>46055</v>
      </c>
      <c r="C550" s="12" t="s">
        <v>1098</v>
      </c>
      <c r="D550" s="12">
        <v>759</v>
      </c>
      <c r="E550" s="12" t="s">
        <v>1159</v>
      </c>
    </row>
    <row r="551" spans="1:5" x14ac:dyDescent="0.25">
      <c r="A551" s="12" t="s">
        <v>550</v>
      </c>
      <c r="B551" s="13">
        <v>46055</v>
      </c>
      <c r="C551" s="12" t="s">
        <v>1058</v>
      </c>
      <c r="D551" s="12">
        <v>390</v>
      </c>
      <c r="E551" s="12" t="s">
        <v>1165</v>
      </c>
    </row>
    <row r="552" spans="1:5" x14ac:dyDescent="0.25">
      <c r="A552" s="12" t="s">
        <v>551</v>
      </c>
      <c r="B552" s="13">
        <v>46056</v>
      </c>
      <c r="C552" s="12" t="s">
        <v>1069</v>
      </c>
      <c r="D552" s="12">
        <v>996</v>
      </c>
      <c r="E552" s="12" t="s">
        <v>1186</v>
      </c>
    </row>
    <row r="553" spans="1:5" x14ac:dyDescent="0.25">
      <c r="A553" s="12" t="s">
        <v>552</v>
      </c>
      <c r="B553" s="13">
        <v>46056</v>
      </c>
      <c r="C553" s="12" t="s">
        <v>1103</v>
      </c>
      <c r="D553" s="12">
        <v>501</v>
      </c>
      <c r="E553" s="12" t="s">
        <v>1193</v>
      </c>
    </row>
    <row r="554" spans="1:5" x14ac:dyDescent="0.25">
      <c r="A554" s="12" t="s">
        <v>553</v>
      </c>
      <c r="B554" s="13">
        <v>46056</v>
      </c>
      <c r="C554" s="12" t="s">
        <v>1034</v>
      </c>
      <c r="D554" s="12">
        <v>899</v>
      </c>
      <c r="E554" s="12" t="s">
        <v>1219</v>
      </c>
    </row>
    <row r="555" spans="1:5" x14ac:dyDescent="0.25">
      <c r="A555" s="12" t="s">
        <v>554</v>
      </c>
      <c r="B555" s="13">
        <v>46056</v>
      </c>
      <c r="C555" s="12" t="s">
        <v>1047</v>
      </c>
      <c r="D555" s="12">
        <v>268</v>
      </c>
      <c r="E555" s="12" t="s">
        <v>1147</v>
      </c>
    </row>
    <row r="556" spans="1:5" x14ac:dyDescent="0.25">
      <c r="A556" s="12" t="s">
        <v>555</v>
      </c>
      <c r="B556" s="13">
        <v>46057</v>
      </c>
      <c r="C556" s="12" t="s">
        <v>1066</v>
      </c>
      <c r="D556" s="12">
        <v>607</v>
      </c>
      <c r="E556" s="12" t="s">
        <v>1137</v>
      </c>
    </row>
    <row r="557" spans="1:5" x14ac:dyDescent="0.25">
      <c r="A557" s="12" t="s">
        <v>556</v>
      </c>
      <c r="B557" s="13">
        <v>46057</v>
      </c>
      <c r="C557" s="12" t="s">
        <v>1066</v>
      </c>
      <c r="D557" s="12">
        <v>946</v>
      </c>
      <c r="E557" s="12" t="s">
        <v>1178</v>
      </c>
    </row>
    <row r="558" spans="1:5" x14ac:dyDescent="0.25">
      <c r="A558" s="12" t="s">
        <v>557</v>
      </c>
      <c r="B558" s="13">
        <v>46057</v>
      </c>
      <c r="C558" s="12" t="s">
        <v>1064</v>
      </c>
      <c r="D558" s="12">
        <v>947</v>
      </c>
      <c r="E558" s="12" t="s">
        <v>1133</v>
      </c>
    </row>
    <row r="559" spans="1:5" x14ac:dyDescent="0.25">
      <c r="A559" s="12" t="s">
        <v>558</v>
      </c>
      <c r="B559" s="13">
        <v>46057</v>
      </c>
      <c r="C559" s="12" t="s">
        <v>1041</v>
      </c>
      <c r="D559" s="12">
        <v>110</v>
      </c>
      <c r="E559" s="12" t="s">
        <v>1154</v>
      </c>
    </row>
    <row r="560" spans="1:5" x14ac:dyDescent="0.25">
      <c r="A560" s="12" t="s">
        <v>559</v>
      </c>
      <c r="B560" s="13">
        <v>46057</v>
      </c>
      <c r="C560" s="12" t="s">
        <v>1088</v>
      </c>
      <c r="D560" s="12">
        <v>809</v>
      </c>
      <c r="E560" s="12" t="s">
        <v>1133</v>
      </c>
    </row>
    <row r="561" spans="1:5" x14ac:dyDescent="0.25">
      <c r="A561" s="12" t="s">
        <v>560</v>
      </c>
      <c r="B561" s="13">
        <v>46057</v>
      </c>
      <c r="C561" s="12" t="s">
        <v>1088</v>
      </c>
      <c r="D561" s="12">
        <v>634</v>
      </c>
      <c r="E561" s="12" t="s">
        <v>1202</v>
      </c>
    </row>
    <row r="562" spans="1:5" x14ac:dyDescent="0.25">
      <c r="A562" s="12" t="s">
        <v>561</v>
      </c>
      <c r="B562" s="13">
        <v>46058</v>
      </c>
      <c r="C562" s="12" t="s">
        <v>1068</v>
      </c>
      <c r="D562" s="12">
        <v>522</v>
      </c>
      <c r="E562" s="12" t="s">
        <v>1156</v>
      </c>
    </row>
    <row r="563" spans="1:5" x14ac:dyDescent="0.25">
      <c r="A563" s="12" t="s">
        <v>562</v>
      </c>
      <c r="B563" s="13">
        <v>46058</v>
      </c>
      <c r="C563" s="12" t="s">
        <v>1027</v>
      </c>
      <c r="D563" s="12">
        <v>594</v>
      </c>
      <c r="E563" s="12" t="s">
        <v>1152</v>
      </c>
    </row>
    <row r="564" spans="1:5" x14ac:dyDescent="0.25">
      <c r="A564" s="12" t="s">
        <v>563</v>
      </c>
      <c r="B564" s="13">
        <v>46058</v>
      </c>
      <c r="C564" s="12" t="s">
        <v>1046</v>
      </c>
      <c r="D564" s="12">
        <v>318</v>
      </c>
      <c r="E564" s="12" t="s">
        <v>1150</v>
      </c>
    </row>
    <row r="565" spans="1:5" x14ac:dyDescent="0.25">
      <c r="A565" s="12" t="s">
        <v>564</v>
      </c>
      <c r="B565" s="13">
        <v>46058</v>
      </c>
      <c r="C565" s="12" t="s">
        <v>1046</v>
      </c>
      <c r="D565" s="12">
        <v>396</v>
      </c>
      <c r="E565" s="12" t="s">
        <v>1139</v>
      </c>
    </row>
    <row r="566" spans="1:5" x14ac:dyDescent="0.25">
      <c r="A566" s="12" t="s">
        <v>565</v>
      </c>
      <c r="B566" s="13">
        <v>46058</v>
      </c>
      <c r="C566" s="12" t="s">
        <v>1082</v>
      </c>
      <c r="D566" s="12">
        <v>315</v>
      </c>
      <c r="E566" s="12" t="s">
        <v>1220</v>
      </c>
    </row>
    <row r="567" spans="1:5" x14ac:dyDescent="0.25">
      <c r="A567" s="12" t="s">
        <v>566</v>
      </c>
      <c r="B567" s="13">
        <v>46059</v>
      </c>
      <c r="C567" s="12" t="s">
        <v>1055</v>
      </c>
      <c r="D567" s="12">
        <v>405</v>
      </c>
      <c r="E567" s="12" t="s">
        <v>1147</v>
      </c>
    </row>
    <row r="568" spans="1:5" x14ac:dyDescent="0.25">
      <c r="A568" s="12" t="s">
        <v>567</v>
      </c>
      <c r="B568" s="13">
        <v>46060</v>
      </c>
      <c r="C568" s="12" t="s">
        <v>1069</v>
      </c>
      <c r="D568" s="12">
        <v>331</v>
      </c>
      <c r="E568" s="12" t="s">
        <v>1150</v>
      </c>
    </row>
    <row r="569" spans="1:5" x14ac:dyDescent="0.25">
      <c r="A569" s="12" t="s">
        <v>568</v>
      </c>
      <c r="B569" s="13">
        <v>46060</v>
      </c>
      <c r="C569" s="12" t="s">
        <v>1103</v>
      </c>
      <c r="D569" s="12">
        <v>130</v>
      </c>
      <c r="E569" s="12" t="s">
        <v>1198</v>
      </c>
    </row>
    <row r="570" spans="1:5" x14ac:dyDescent="0.25">
      <c r="A570" s="12" t="s">
        <v>569</v>
      </c>
      <c r="B570" s="13">
        <v>46060</v>
      </c>
      <c r="C570" s="12" t="s">
        <v>1031</v>
      </c>
      <c r="D570" s="12">
        <v>483</v>
      </c>
      <c r="E570" s="12" t="s">
        <v>1148</v>
      </c>
    </row>
    <row r="571" spans="1:5" x14ac:dyDescent="0.25">
      <c r="A571" s="12" t="s">
        <v>570</v>
      </c>
      <c r="B571" s="13">
        <v>46060</v>
      </c>
      <c r="C571" s="12" t="s">
        <v>1073</v>
      </c>
      <c r="D571" s="12">
        <v>148</v>
      </c>
      <c r="E571" s="12" t="s">
        <v>1165</v>
      </c>
    </row>
    <row r="572" spans="1:5" x14ac:dyDescent="0.25">
      <c r="A572" s="12" t="s">
        <v>571</v>
      </c>
      <c r="B572" s="13">
        <v>46061</v>
      </c>
      <c r="C572" s="12" t="s">
        <v>1048</v>
      </c>
      <c r="D572" s="12">
        <v>146</v>
      </c>
      <c r="E572" s="12" t="s">
        <v>1165</v>
      </c>
    </row>
    <row r="573" spans="1:5" x14ac:dyDescent="0.25">
      <c r="A573" s="12" t="s">
        <v>572</v>
      </c>
      <c r="B573" s="13">
        <v>46061</v>
      </c>
      <c r="C573" s="12" t="s">
        <v>1098</v>
      </c>
      <c r="D573" s="12">
        <v>827</v>
      </c>
      <c r="E573" s="12" t="s">
        <v>1145</v>
      </c>
    </row>
    <row r="574" spans="1:5" x14ac:dyDescent="0.25">
      <c r="A574" s="12" t="s">
        <v>573</v>
      </c>
      <c r="B574" s="13">
        <v>46061</v>
      </c>
      <c r="C574" s="12" t="s">
        <v>1061</v>
      </c>
      <c r="D574" s="12">
        <v>753</v>
      </c>
      <c r="E574" s="12" t="s">
        <v>1173</v>
      </c>
    </row>
    <row r="575" spans="1:5" x14ac:dyDescent="0.25">
      <c r="A575" s="12" t="s">
        <v>574</v>
      </c>
      <c r="B575" s="13">
        <v>46062</v>
      </c>
      <c r="C575" s="12" t="s">
        <v>1049</v>
      </c>
      <c r="D575" s="12">
        <v>233</v>
      </c>
      <c r="E575" s="12" t="s">
        <v>1144</v>
      </c>
    </row>
    <row r="576" spans="1:5" x14ac:dyDescent="0.25">
      <c r="A576" s="12" t="s">
        <v>575</v>
      </c>
      <c r="B576" s="13">
        <v>46062</v>
      </c>
      <c r="C576" s="12" t="s">
        <v>1048</v>
      </c>
      <c r="D576" s="12">
        <v>828</v>
      </c>
      <c r="E576" s="12" t="s">
        <v>1142</v>
      </c>
    </row>
    <row r="577" spans="1:5" x14ac:dyDescent="0.25">
      <c r="A577" s="12" t="s">
        <v>576</v>
      </c>
      <c r="B577" s="13">
        <v>46062</v>
      </c>
      <c r="C577" s="12" t="s">
        <v>1037</v>
      </c>
      <c r="D577" s="12">
        <v>399</v>
      </c>
      <c r="E577" s="12" t="s">
        <v>1140</v>
      </c>
    </row>
    <row r="578" spans="1:5" x14ac:dyDescent="0.25">
      <c r="A578" s="12" t="s">
        <v>577</v>
      </c>
      <c r="B578" s="13">
        <v>46062</v>
      </c>
      <c r="C578" s="12" t="s">
        <v>1073</v>
      </c>
      <c r="D578" s="12">
        <v>603</v>
      </c>
      <c r="E578" s="12" t="s">
        <v>1202</v>
      </c>
    </row>
    <row r="579" spans="1:5" x14ac:dyDescent="0.25">
      <c r="A579" s="12" t="s">
        <v>578</v>
      </c>
      <c r="B579" s="13">
        <v>46063</v>
      </c>
      <c r="C579" s="12" t="s">
        <v>1049</v>
      </c>
      <c r="D579" s="12">
        <v>559</v>
      </c>
      <c r="E579" s="12" t="s">
        <v>1205</v>
      </c>
    </row>
    <row r="580" spans="1:5" x14ac:dyDescent="0.25">
      <c r="A580" s="12" t="s">
        <v>579</v>
      </c>
      <c r="B580" s="13">
        <v>46063</v>
      </c>
      <c r="C580" s="12" t="s">
        <v>1063</v>
      </c>
      <c r="D580" s="12">
        <v>923</v>
      </c>
      <c r="E580" s="12" t="s">
        <v>1189</v>
      </c>
    </row>
    <row r="581" spans="1:5" x14ac:dyDescent="0.25">
      <c r="A581" s="12" t="s">
        <v>580</v>
      </c>
      <c r="B581" s="13">
        <v>46063</v>
      </c>
      <c r="C581" s="12" t="s">
        <v>1047</v>
      </c>
      <c r="D581" s="12">
        <v>721</v>
      </c>
      <c r="E581" s="12" t="s">
        <v>1209</v>
      </c>
    </row>
    <row r="582" spans="1:5" x14ac:dyDescent="0.25">
      <c r="A582" s="12" t="s">
        <v>581</v>
      </c>
      <c r="B582" s="13">
        <v>46064</v>
      </c>
      <c r="C582" s="12" t="s">
        <v>1039</v>
      </c>
      <c r="D582" s="12">
        <v>567</v>
      </c>
      <c r="E582" s="12" t="s">
        <v>1190</v>
      </c>
    </row>
    <row r="583" spans="1:5" x14ac:dyDescent="0.25">
      <c r="A583" s="12" t="s">
        <v>582</v>
      </c>
      <c r="B583" s="13">
        <v>46064</v>
      </c>
      <c r="C583" s="12" t="s">
        <v>1103</v>
      </c>
      <c r="D583" s="12">
        <v>179</v>
      </c>
      <c r="E583" s="12" t="s">
        <v>1143</v>
      </c>
    </row>
    <row r="584" spans="1:5" x14ac:dyDescent="0.25">
      <c r="A584" s="12" t="s">
        <v>583</v>
      </c>
      <c r="B584" s="13">
        <v>46065</v>
      </c>
      <c r="C584" s="12" t="s">
        <v>1052</v>
      </c>
      <c r="D584" s="12">
        <v>821</v>
      </c>
      <c r="E584" s="12" t="s">
        <v>1164</v>
      </c>
    </row>
    <row r="585" spans="1:5" x14ac:dyDescent="0.25">
      <c r="A585" s="12" t="s">
        <v>584</v>
      </c>
      <c r="B585" s="13">
        <v>46065</v>
      </c>
      <c r="C585" s="12" t="s">
        <v>1080</v>
      </c>
      <c r="D585" s="12">
        <v>489</v>
      </c>
      <c r="E585" s="12" t="s">
        <v>1145</v>
      </c>
    </row>
    <row r="586" spans="1:5" x14ac:dyDescent="0.25">
      <c r="A586" s="12" t="s">
        <v>585</v>
      </c>
      <c r="B586" s="13">
        <v>46065</v>
      </c>
      <c r="C586" s="12" t="s">
        <v>1068</v>
      </c>
      <c r="D586" s="12">
        <v>933</v>
      </c>
      <c r="E586" s="12" t="s">
        <v>1142</v>
      </c>
    </row>
    <row r="587" spans="1:5" x14ac:dyDescent="0.25">
      <c r="A587" s="12" t="s">
        <v>586</v>
      </c>
      <c r="B587" s="13">
        <v>46065</v>
      </c>
      <c r="C587" s="12" t="s">
        <v>1047</v>
      </c>
      <c r="D587" s="12">
        <v>935</v>
      </c>
      <c r="E587" s="12" t="s">
        <v>1153</v>
      </c>
    </row>
    <row r="588" spans="1:5" x14ac:dyDescent="0.25">
      <c r="A588" s="12" t="s">
        <v>587</v>
      </c>
      <c r="B588" s="13">
        <v>46066</v>
      </c>
      <c r="C588" s="12" t="s">
        <v>1086</v>
      </c>
      <c r="D588" s="12">
        <v>329</v>
      </c>
      <c r="E588" s="12" t="s">
        <v>1181</v>
      </c>
    </row>
    <row r="589" spans="1:5" x14ac:dyDescent="0.25">
      <c r="A589" s="12" t="s">
        <v>588</v>
      </c>
      <c r="B589" s="13">
        <v>46066</v>
      </c>
      <c r="C589" s="12" t="s">
        <v>1064</v>
      </c>
      <c r="D589" s="12">
        <v>676</v>
      </c>
      <c r="E589" s="12" t="s">
        <v>1192</v>
      </c>
    </row>
    <row r="590" spans="1:5" x14ac:dyDescent="0.25">
      <c r="A590" s="12" t="s">
        <v>589</v>
      </c>
      <c r="B590" s="13">
        <v>46066</v>
      </c>
      <c r="C590" s="12" t="s">
        <v>1092</v>
      </c>
      <c r="D590" s="12">
        <v>632</v>
      </c>
      <c r="E590" s="12" t="s">
        <v>1218</v>
      </c>
    </row>
    <row r="591" spans="1:5" x14ac:dyDescent="0.25">
      <c r="A591" s="12" t="s">
        <v>590</v>
      </c>
      <c r="B591" s="13">
        <v>46066</v>
      </c>
      <c r="C591" s="12" t="s">
        <v>1034</v>
      </c>
      <c r="D591" s="12">
        <v>835</v>
      </c>
      <c r="E591" s="12" t="s">
        <v>1166</v>
      </c>
    </row>
    <row r="592" spans="1:5" x14ac:dyDescent="0.25">
      <c r="A592" s="12" t="s">
        <v>591</v>
      </c>
      <c r="B592" s="13">
        <v>46067</v>
      </c>
      <c r="C592" s="12" t="s">
        <v>1069</v>
      </c>
      <c r="D592" s="12">
        <v>739</v>
      </c>
      <c r="E592" s="12" t="s">
        <v>1172</v>
      </c>
    </row>
    <row r="593" spans="1:5" x14ac:dyDescent="0.25">
      <c r="A593" s="12" t="s">
        <v>592</v>
      </c>
      <c r="B593" s="13">
        <v>46067</v>
      </c>
      <c r="C593" s="12" t="s">
        <v>1063</v>
      </c>
      <c r="D593" s="12">
        <v>967</v>
      </c>
      <c r="E593" s="12" t="s">
        <v>1134</v>
      </c>
    </row>
    <row r="594" spans="1:5" x14ac:dyDescent="0.25">
      <c r="A594" s="12" t="s">
        <v>593</v>
      </c>
      <c r="B594" s="13">
        <v>46067</v>
      </c>
      <c r="C594" s="12" t="s">
        <v>1092</v>
      </c>
      <c r="D594" s="12">
        <v>359</v>
      </c>
      <c r="E594" s="12" t="s">
        <v>1141</v>
      </c>
    </row>
    <row r="595" spans="1:5" x14ac:dyDescent="0.25">
      <c r="A595" s="12" t="s">
        <v>594</v>
      </c>
      <c r="B595" s="13">
        <v>46068</v>
      </c>
      <c r="C595" s="12" t="s">
        <v>1064</v>
      </c>
      <c r="D595" s="12">
        <v>270</v>
      </c>
      <c r="E595" s="12" t="s">
        <v>1183</v>
      </c>
    </row>
    <row r="596" spans="1:5" x14ac:dyDescent="0.25">
      <c r="A596" s="12" t="s">
        <v>595</v>
      </c>
      <c r="B596" s="13">
        <v>46068</v>
      </c>
      <c r="C596" s="12" t="s">
        <v>1105</v>
      </c>
      <c r="D596" s="12">
        <v>584</v>
      </c>
      <c r="E596" s="12" t="s">
        <v>1150</v>
      </c>
    </row>
    <row r="597" spans="1:5" x14ac:dyDescent="0.25">
      <c r="A597" s="12" t="s">
        <v>596</v>
      </c>
      <c r="B597" s="13">
        <v>46068</v>
      </c>
      <c r="C597" s="12" t="s">
        <v>1073</v>
      </c>
      <c r="D597" s="12">
        <v>241</v>
      </c>
      <c r="E597" s="12" t="s">
        <v>1182</v>
      </c>
    </row>
    <row r="598" spans="1:5" x14ac:dyDescent="0.25">
      <c r="A598" s="12" t="s">
        <v>597</v>
      </c>
      <c r="B598" s="13">
        <v>46069</v>
      </c>
      <c r="C598" s="12" t="s">
        <v>1073</v>
      </c>
      <c r="D598" s="12">
        <v>924</v>
      </c>
      <c r="E598" s="12" t="s">
        <v>1231</v>
      </c>
    </row>
    <row r="599" spans="1:5" x14ac:dyDescent="0.25">
      <c r="A599" s="12" t="s">
        <v>598</v>
      </c>
      <c r="B599" s="13">
        <v>46069</v>
      </c>
      <c r="C599" s="12" t="s">
        <v>1069</v>
      </c>
      <c r="D599" s="12">
        <v>540</v>
      </c>
      <c r="E599" s="12" t="s">
        <v>1172</v>
      </c>
    </row>
    <row r="600" spans="1:5" x14ac:dyDescent="0.25">
      <c r="A600" s="12" t="s">
        <v>599</v>
      </c>
      <c r="B600" s="13">
        <v>46069</v>
      </c>
      <c r="C600" s="12" t="s">
        <v>1080</v>
      </c>
      <c r="D600" s="12">
        <v>418</v>
      </c>
      <c r="E600" s="12" t="s">
        <v>1150</v>
      </c>
    </row>
    <row r="601" spans="1:5" x14ac:dyDescent="0.25">
      <c r="A601" s="12" t="s">
        <v>600</v>
      </c>
      <c r="B601" s="13">
        <v>46069</v>
      </c>
      <c r="C601" s="12" t="s">
        <v>1088</v>
      </c>
      <c r="D601" s="12">
        <v>761</v>
      </c>
      <c r="E601" s="12" t="s">
        <v>1160</v>
      </c>
    </row>
    <row r="602" spans="1:5" x14ac:dyDescent="0.25">
      <c r="A602" s="12" t="s">
        <v>601</v>
      </c>
      <c r="B602" s="13">
        <v>46070</v>
      </c>
      <c r="C602" s="12" t="s">
        <v>1052</v>
      </c>
      <c r="D602" s="12">
        <v>803</v>
      </c>
      <c r="E602" s="12" t="s">
        <v>1152</v>
      </c>
    </row>
    <row r="603" spans="1:5" x14ac:dyDescent="0.25">
      <c r="A603" s="12" t="s">
        <v>602</v>
      </c>
      <c r="B603" s="13">
        <v>46070</v>
      </c>
      <c r="C603" s="12" t="s">
        <v>1078</v>
      </c>
      <c r="D603" s="12">
        <v>388</v>
      </c>
      <c r="E603" s="12" t="s">
        <v>1142</v>
      </c>
    </row>
    <row r="604" spans="1:5" x14ac:dyDescent="0.25">
      <c r="A604" s="12" t="s">
        <v>603</v>
      </c>
      <c r="B604" s="13">
        <v>46070</v>
      </c>
      <c r="C604" s="12" t="s">
        <v>1031</v>
      </c>
      <c r="D604" s="12">
        <v>394</v>
      </c>
      <c r="E604" s="12" t="s">
        <v>1217</v>
      </c>
    </row>
    <row r="605" spans="1:5" x14ac:dyDescent="0.25">
      <c r="A605" s="12" t="s">
        <v>604</v>
      </c>
      <c r="B605" s="13">
        <v>46071</v>
      </c>
      <c r="C605" s="12" t="s">
        <v>1063</v>
      </c>
      <c r="D605" s="12">
        <v>776</v>
      </c>
      <c r="E605" s="12" t="s">
        <v>1156</v>
      </c>
    </row>
    <row r="606" spans="1:5" x14ac:dyDescent="0.25">
      <c r="A606" s="12" t="s">
        <v>605</v>
      </c>
      <c r="B606" s="13">
        <v>46071</v>
      </c>
      <c r="C606" s="12" t="s">
        <v>1037</v>
      </c>
      <c r="D606" s="12">
        <v>338</v>
      </c>
      <c r="E606" s="12" t="s">
        <v>1145</v>
      </c>
    </row>
    <row r="607" spans="1:5" x14ac:dyDescent="0.25">
      <c r="A607" s="12" t="s">
        <v>606</v>
      </c>
      <c r="B607" s="13">
        <v>46071</v>
      </c>
      <c r="C607" s="12" t="s">
        <v>1103</v>
      </c>
      <c r="D607" s="12">
        <v>358</v>
      </c>
      <c r="E607" s="12" t="s">
        <v>1185</v>
      </c>
    </row>
    <row r="608" spans="1:5" x14ac:dyDescent="0.25">
      <c r="A608" s="12" t="s">
        <v>607</v>
      </c>
      <c r="B608" s="13">
        <v>46071</v>
      </c>
      <c r="C608" s="12" t="s">
        <v>1048</v>
      </c>
      <c r="D608" s="12">
        <v>663</v>
      </c>
      <c r="E608" s="12" t="s">
        <v>1138</v>
      </c>
    </row>
    <row r="609" spans="1:5" x14ac:dyDescent="0.25">
      <c r="A609" s="12" t="s">
        <v>608</v>
      </c>
      <c r="B609" s="13">
        <v>46072</v>
      </c>
      <c r="C609" s="12" t="s">
        <v>1105</v>
      </c>
      <c r="D609" s="12">
        <v>274</v>
      </c>
      <c r="E609" s="12" t="s">
        <v>1194</v>
      </c>
    </row>
    <row r="610" spans="1:5" x14ac:dyDescent="0.25">
      <c r="A610" s="12" t="s">
        <v>609</v>
      </c>
      <c r="B610" s="13">
        <v>46072</v>
      </c>
      <c r="C610" s="12" t="s">
        <v>1092</v>
      </c>
      <c r="D610" s="12">
        <v>832</v>
      </c>
      <c r="E610" s="12" t="s">
        <v>1210</v>
      </c>
    </row>
    <row r="611" spans="1:5" x14ac:dyDescent="0.25">
      <c r="A611" s="12" t="s">
        <v>610</v>
      </c>
      <c r="B611" s="13">
        <v>46073</v>
      </c>
      <c r="C611" s="12" t="s">
        <v>1052</v>
      </c>
      <c r="D611" s="12">
        <v>915</v>
      </c>
      <c r="E611" s="12" t="s">
        <v>1175</v>
      </c>
    </row>
    <row r="612" spans="1:5" x14ac:dyDescent="0.25">
      <c r="A612" s="12" t="s">
        <v>611</v>
      </c>
      <c r="B612" s="13">
        <v>46073</v>
      </c>
      <c r="C612" s="12" t="s">
        <v>1042</v>
      </c>
      <c r="D612" s="12">
        <v>665</v>
      </c>
      <c r="E612" s="12" t="s">
        <v>1190</v>
      </c>
    </row>
    <row r="613" spans="1:5" x14ac:dyDescent="0.25">
      <c r="A613" s="12" t="s">
        <v>612</v>
      </c>
      <c r="B613" s="13">
        <v>46073</v>
      </c>
      <c r="C613" s="12" t="s">
        <v>1093</v>
      </c>
      <c r="D613" s="12">
        <v>257</v>
      </c>
      <c r="E613" s="12" t="s">
        <v>1166</v>
      </c>
    </row>
    <row r="614" spans="1:5" x14ac:dyDescent="0.25">
      <c r="A614" s="12" t="s">
        <v>613</v>
      </c>
      <c r="B614" s="13">
        <v>46073</v>
      </c>
      <c r="C614" s="12" t="s">
        <v>1055</v>
      </c>
      <c r="D614" s="12">
        <v>699</v>
      </c>
      <c r="E614" s="12" t="s">
        <v>1163</v>
      </c>
    </row>
    <row r="615" spans="1:5" x14ac:dyDescent="0.25">
      <c r="A615" s="12" t="s">
        <v>614</v>
      </c>
      <c r="B615" s="13">
        <v>46073</v>
      </c>
      <c r="C615" s="12" t="s">
        <v>1045</v>
      </c>
      <c r="D615" s="12">
        <v>759</v>
      </c>
      <c r="E615" s="12" t="s">
        <v>1180</v>
      </c>
    </row>
    <row r="616" spans="1:5" x14ac:dyDescent="0.25">
      <c r="A616" s="12" t="s">
        <v>615</v>
      </c>
      <c r="B616" s="13">
        <v>46074</v>
      </c>
      <c r="C616" s="12" t="s">
        <v>1048</v>
      </c>
      <c r="D616" s="12">
        <v>898</v>
      </c>
      <c r="E616" s="12" t="s">
        <v>1207</v>
      </c>
    </row>
    <row r="617" spans="1:5" x14ac:dyDescent="0.25">
      <c r="A617" s="12" t="s">
        <v>616</v>
      </c>
      <c r="B617" s="13">
        <v>46074</v>
      </c>
      <c r="C617" s="12" t="s">
        <v>1078</v>
      </c>
      <c r="D617" s="12">
        <v>776</v>
      </c>
      <c r="E617" s="12" t="s">
        <v>1195</v>
      </c>
    </row>
    <row r="618" spans="1:5" x14ac:dyDescent="0.25">
      <c r="A618" s="12" t="s">
        <v>617</v>
      </c>
      <c r="B618" s="13">
        <v>46074</v>
      </c>
      <c r="C618" s="12" t="s">
        <v>1027</v>
      </c>
      <c r="D618" s="12">
        <v>890</v>
      </c>
      <c r="E618" s="12" t="s">
        <v>1225</v>
      </c>
    </row>
    <row r="619" spans="1:5" x14ac:dyDescent="0.25">
      <c r="A619" s="12" t="s">
        <v>618</v>
      </c>
      <c r="B619" s="13">
        <v>46075</v>
      </c>
      <c r="C619" s="12" t="s">
        <v>1070</v>
      </c>
      <c r="D619" s="12">
        <v>612</v>
      </c>
      <c r="E619" s="12" t="s">
        <v>1150</v>
      </c>
    </row>
    <row r="620" spans="1:5" x14ac:dyDescent="0.25">
      <c r="A620" s="12" t="s">
        <v>619</v>
      </c>
      <c r="B620" s="13">
        <v>46075</v>
      </c>
      <c r="C620" s="12" t="s">
        <v>1086</v>
      </c>
      <c r="D620" s="12">
        <v>592</v>
      </c>
      <c r="E620" s="12" t="s">
        <v>1158</v>
      </c>
    </row>
    <row r="621" spans="1:5" x14ac:dyDescent="0.25">
      <c r="A621" s="12" t="s">
        <v>620</v>
      </c>
      <c r="B621" s="13">
        <v>46076</v>
      </c>
      <c r="C621" s="12" t="s">
        <v>1034</v>
      </c>
      <c r="D621" s="12">
        <v>259</v>
      </c>
      <c r="E621" s="12" t="s">
        <v>1225</v>
      </c>
    </row>
    <row r="622" spans="1:5" x14ac:dyDescent="0.25">
      <c r="A622" s="12" t="s">
        <v>621</v>
      </c>
      <c r="B622" s="13">
        <v>46077</v>
      </c>
      <c r="C622" s="12" t="s">
        <v>1048</v>
      </c>
      <c r="D622" s="12">
        <v>929</v>
      </c>
      <c r="E622" s="12" t="s">
        <v>1140</v>
      </c>
    </row>
    <row r="623" spans="1:5" x14ac:dyDescent="0.25">
      <c r="A623" s="12" t="s">
        <v>622</v>
      </c>
      <c r="B623" s="13">
        <v>46077</v>
      </c>
      <c r="C623" s="12" t="s">
        <v>1047</v>
      </c>
      <c r="D623" s="12">
        <v>121</v>
      </c>
      <c r="E623" s="12" t="s">
        <v>1152</v>
      </c>
    </row>
    <row r="624" spans="1:5" x14ac:dyDescent="0.25">
      <c r="A624" s="12" t="s">
        <v>623</v>
      </c>
      <c r="B624" s="13">
        <v>46078</v>
      </c>
      <c r="C624" s="12" t="s">
        <v>1049</v>
      </c>
      <c r="D624" s="12">
        <v>415</v>
      </c>
      <c r="E624" s="12" t="s">
        <v>1157</v>
      </c>
    </row>
    <row r="625" spans="1:5" x14ac:dyDescent="0.25">
      <c r="A625" s="12" t="s">
        <v>624</v>
      </c>
      <c r="B625" s="13">
        <v>46078</v>
      </c>
      <c r="C625" s="12" t="s">
        <v>1048</v>
      </c>
      <c r="D625" s="12">
        <v>971</v>
      </c>
      <c r="E625" s="12" t="s">
        <v>1143</v>
      </c>
    </row>
    <row r="626" spans="1:5" x14ac:dyDescent="0.25">
      <c r="A626" s="12" t="s">
        <v>625</v>
      </c>
      <c r="B626" s="13">
        <v>46078</v>
      </c>
      <c r="C626" s="12" t="s">
        <v>1066</v>
      </c>
      <c r="D626" s="12">
        <v>510</v>
      </c>
      <c r="E626" s="12" t="s">
        <v>1167</v>
      </c>
    </row>
    <row r="627" spans="1:5" x14ac:dyDescent="0.25">
      <c r="A627" s="12" t="s">
        <v>626</v>
      </c>
      <c r="B627" s="13">
        <v>46079</v>
      </c>
      <c r="C627" s="12" t="s">
        <v>1101</v>
      </c>
      <c r="D627" s="12">
        <v>939</v>
      </c>
      <c r="E627" s="12" t="s">
        <v>1219</v>
      </c>
    </row>
    <row r="628" spans="1:5" x14ac:dyDescent="0.25">
      <c r="A628" s="12" t="s">
        <v>627</v>
      </c>
      <c r="B628" s="13">
        <v>46079</v>
      </c>
      <c r="C628" s="12" t="s">
        <v>1075</v>
      </c>
      <c r="D628" s="12">
        <v>557</v>
      </c>
      <c r="E628" s="12" t="s">
        <v>1226</v>
      </c>
    </row>
    <row r="629" spans="1:5" x14ac:dyDescent="0.25">
      <c r="A629" s="12" t="s">
        <v>628</v>
      </c>
      <c r="B629" s="13">
        <v>46079</v>
      </c>
      <c r="C629" s="12" t="s">
        <v>1052</v>
      </c>
      <c r="D629" s="12">
        <v>499</v>
      </c>
      <c r="E629" s="12" t="s">
        <v>1205</v>
      </c>
    </row>
    <row r="630" spans="1:5" x14ac:dyDescent="0.25">
      <c r="A630" s="12" t="s">
        <v>629</v>
      </c>
      <c r="B630" s="13">
        <v>46079</v>
      </c>
      <c r="C630" s="12" t="s">
        <v>1095</v>
      </c>
      <c r="D630" s="12">
        <v>113</v>
      </c>
      <c r="E630" s="12" t="s">
        <v>1225</v>
      </c>
    </row>
    <row r="631" spans="1:5" x14ac:dyDescent="0.25">
      <c r="A631" s="12" t="s">
        <v>630</v>
      </c>
      <c r="B631" s="13">
        <v>46080</v>
      </c>
      <c r="C631" s="12" t="s">
        <v>1064</v>
      </c>
      <c r="D631" s="12">
        <v>574</v>
      </c>
      <c r="E631" s="12" t="s">
        <v>1171</v>
      </c>
    </row>
    <row r="632" spans="1:5" x14ac:dyDescent="0.25">
      <c r="A632" s="12" t="s">
        <v>631</v>
      </c>
      <c r="B632" s="13">
        <v>46080</v>
      </c>
      <c r="C632" s="12" t="s">
        <v>1055</v>
      </c>
      <c r="D632" s="12">
        <v>180</v>
      </c>
      <c r="E632" s="12" t="s">
        <v>1168</v>
      </c>
    </row>
    <row r="633" spans="1:5" x14ac:dyDescent="0.25">
      <c r="A633" s="12" t="s">
        <v>632</v>
      </c>
      <c r="B633" s="13">
        <v>46080</v>
      </c>
      <c r="C633" s="12" t="s">
        <v>1064</v>
      </c>
      <c r="D633" s="12">
        <v>127</v>
      </c>
      <c r="E633" s="12" t="s">
        <v>1189</v>
      </c>
    </row>
    <row r="634" spans="1:5" x14ac:dyDescent="0.25">
      <c r="A634" s="12" t="s">
        <v>633</v>
      </c>
      <c r="B634" s="13">
        <v>46080</v>
      </c>
      <c r="C634" s="12" t="s">
        <v>1078</v>
      </c>
      <c r="D634" s="12">
        <v>276</v>
      </c>
      <c r="E634" s="12" t="s">
        <v>1171</v>
      </c>
    </row>
    <row r="635" spans="1:5" x14ac:dyDescent="0.25">
      <c r="A635" s="12" t="s">
        <v>634</v>
      </c>
      <c r="B635" s="13">
        <v>46080</v>
      </c>
      <c r="C635" s="12" t="s">
        <v>1092</v>
      </c>
      <c r="D635" s="12">
        <v>454</v>
      </c>
      <c r="E635" s="12" t="s">
        <v>1156</v>
      </c>
    </row>
    <row r="636" spans="1:5" x14ac:dyDescent="0.25">
      <c r="A636" s="12" t="s">
        <v>635</v>
      </c>
      <c r="B636" s="13">
        <v>46081</v>
      </c>
      <c r="C636" s="12" t="s">
        <v>1066</v>
      </c>
      <c r="D636" s="12">
        <v>724</v>
      </c>
      <c r="E636" s="12" t="s">
        <v>1194</v>
      </c>
    </row>
    <row r="637" spans="1:5" x14ac:dyDescent="0.25">
      <c r="A637" s="12" t="s">
        <v>636</v>
      </c>
      <c r="B637" s="13">
        <v>46081</v>
      </c>
      <c r="C637" s="12" t="s">
        <v>1042</v>
      </c>
      <c r="D637" s="12">
        <v>114</v>
      </c>
      <c r="E637" s="12" t="s">
        <v>1210</v>
      </c>
    </row>
    <row r="638" spans="1:5" x14ac:dyDescent="0.25">
      <c r="A638" s="12" t="s">
        <v>637</v>
      </c>
      <c r="B638" s="13">
        <v>46081</v>
      </c>
      <c r="C638" s="12" t="s">
        <v>1098</v>
      </c>
      <c r="D638" s="12">
        <v>705</v>
      </c>
      <c r="E638" s="12" t="s">
        <v>1215</v>
      </c>
    </row>
    <row r="639" spans="1:5" x14ac:dyDescent="0.25">
      <c r="A639" s="12" t="s">
        <v>638</v>
      </c>
      <c r="B639" s="13">
        <v>46081</v>
      </c>
      <c r="C639" s="12" t="s">
        <v>1039</v>
      </c>
      <c r="D639" s="12">
        <v>175</v>
      </c>
      <c r="E639" s="12" t="s">
        <v>1179</v>
      </c>
    </row>
    <row r="640" spans="1:5" x14ac:dyDescent="0.25">
      <c r="A640" s="12" t="s">
        <v>639</v>
      </c>
      <c r="B640" s="13">
        <v>46081</v>
      </c>
      <c r="C640" s="12" t="s">
        <v>1055</v>
      </c>
      <c r="D640" s="12">
        <v>676</v>
      </c>
      <c r="E640" s="12" t="s">
        <v>1184</v>
      </c>
    </row>
    <row r="641" spans="1:5" x14ac:dyDescent="0.25">
      <c r="A641" s="12" t="s">
        <v>640</v>
      </c>
      <c r="B641" s="13">
        <v>46082</v>
      </c>
      <c r="C641" s="12" t="s">
        <v>1037</v>
      </c>
      <c r="D641" s="12">
        <v>423</v>
      </c>
      <c r="E641" s="12" t="s">
        <v>1170</v>
      </c>
    </row>
    <row r="642" spans="1:5" x14ac:dyDescent="0.25">
      <c r="A642" s="12" t="s">
        <v>641</v>
      </c>
      <c r="B642" s="13">
        <v>46082</v>
      </c>
      <c r="C642" s="12" t="s">
        <v>1095</v>
      </c>
      <c r="D642" s="12">
        <v>247</v>
      </c>
      <c r="E642" s="12" t="s">
        <v>1170</v>
      </c>
    </row>
    <row r="643" spans="1:5" x14ac:dyDescent="0.25">
      <c r="A643" s="12" t="s">
        <v>642</v>
      </c>
      <c r="B643" s="13">
        <v>46084</v>
      </c>
      <c r="C643" s="12" t="s">
        <v>1027</v>
      </c>
      <c r="D643" s="12">
        <v>469</v>
      </c>
      <c r="E643" s="12" t="s">
        <v>1180</v>
      </c>
    </row>
    <row r="644" spans="1:5" x14ac:dyDescent="0.25">
      <c r="A644" s="12" t="s">
        <v>643</v>
      </c>
      <c r="B644" s="13">
        <v>46084</v>
      </c>
      <c r="C644" s="12" t="s">
        <v>1088</v>
      </c>
      <c r="D644" s="12">
        <v>469</v>
      </c>
      <c r="E644" s="12" t="s">
        <v>1222</v>
      </c>
    </row>
    <row r="645" spans="1:5" x14ac:dyDescent="0.25">
      <c r="A645" s="12" t="s">
        <v>644</v>
      </c>
      <c r="B645" s="13">
        <v>46084</v>
      </c>
      <c r="C645" s="12" t="s">
        <v>1064</v>
      </c>
      <c r="D645" s="12">
        <v>802</v>
      </c>
      <c r="E645" s="12" t="s">
        <v>1153</v>
      </c>
    </row>
    <row r="646" spans="1:5" x14ac:dyDescent="0.25">
      <c r="A646" s="12" t="s">
        <v>645</v>
      </c>
      <c r="B646" s="13">
        <v>46084</v>
      </c>
      <c r="C646" s="12" t="s">
        <v>1061</v>
      </c>
      <c r="D646" s="12">
        <v>632</v>
      </c>
      <c r="E646" s="12" t="s">
        <v>1199</v>
      </c>
    </row>
    <row r="647" spans="1:5" x14ac:dyDescent="0.25">
      <c r="A647" s="12" t="s">
        <v>646</v>
      </c>
      <c r="B647" s="13">
        <v>46084</v>
      </c>
      <c r="C647" s="12" t="s">
        <v>1064</v>
      </c>
      <c r="D647" s="12">
        <v>146</v>
      </c>
      <c r="E647" s="12" t="s">
        <v>1142</v>
      </c>
    </row>
    <row r="648" spans="1:5" x14ac:dyDescent="0.25">
      <c r="A648" s="12" t="s">
        <v>647</v>
      </c>
      <c r="B648" s="13">
        <v>46084</v>
      </c>
      <c r="C648" s="12" t="s">
        <v>1039</v>
      </c>
      <c r="D648" s="12">
        <v>108</v>
      </c>
      <c r="E648" s="12" t="s">
        <v>1189</v>
      </c>
    </row>
    <row r="649" spans="1:5" x14ac:dyDescent="0.25">
      <c r="A649" s="12" t="s">
        <v>648</v>
      </c>
      <c r="B649" s="13">
        <v>46085</v>
      </c>
      <c r="C649" s="12" t="s">
        <v>1063</v>
      </c>
      <c r="D649" s="12">
        <v>539</v>
      </c>
      <c r="E649" s="12" t="s">
        <v>1160</v>
      </c>
    </row>
    <row r="650" spans="1:5" x14ac:dyDescent="0.25">
      <c r="A650" s="12" t="s">
        <v>649</v>
      </c>
      <c r="B650" s="13">
        <v>46085</v>
      </c>
      <c r="C650" s="12" t="s">
        <v>1066</v>
      </c>
      <c r="D650" s="12">
        <v>294</v>
      </c>
      <c r="E650" s="12" t="s">
        <v>1173</v>
      </c>
    </row>
    <row r="651" spans="1:5" x14ac:dyDescent="0.25">
      <c r="A651" s="12" t="s">
        <v>650</v>
      </c>
      <c r="B651" s="13">
        <v>46086</v>
      </c>
      <c r="C651" s="12" t="s">
        <v>1063</v>
      </c>
      <c r="D651" s="12">
        <v>889</v>
      </c>
      <c r="E651" s="12" t="s">
        <v>1141</v>
      </c>
    </row>
    <row r="652" spans="1:5" x14ac:dyDescent="0.25">
      <c r="A652" s="12" t="s">
        <v>651</v>
      </c>
      <c r="B652" s="13">
        <v>46086</v>
      </c>
      <c r="C652" s="12" t="s">
        <v>1084</v>
      </c>
      <c r="D652" s="12">
        <v>879</v>
      </c>
      <c r="E652" s="12" t="s">
        <v>1157</v>
      </c>
    </row>
    <row r="653" spans="1:5" x14ac:dyDescent="0.25">
      <c r="A653" s="12" t="s">
        <v>652</v>
      </c>
      <c r="B653" s="13">
        <v>46086</v>
      </c>
      <c r="C653" s="12" t="s">
        <v>1103</v>
      </c>
      <c r="D653" s="12">
        <v>784</v>
      </c>
      <c r="E653" s="12" t="s">
        <v>1161</v>
      </c>
    </row>
    <row r="654" spans="1:5" x14ac:dyDescent="0.25">
      <c r="A654" s="12" t="s">
        <v>653</v>
      </c>
      <c r="B654" s="13">
        <v>46086</v>
      </c>
      <c r="C654" s="12" t="s">
        <v>1053</v>
      </c>
      <c r="D654" s="12">
        <v>709</v>
      </c>
      <c r="E654" s="12" t="s">
        <v>1210</v>
      </c>
    </row>
    <row r="655" spans="1:5" x14ac:dyDescent="0.25">
      <c r="A655" s="12" t="s">
        <v>654</v>
      </c>
      <c r="B655" s="13">
        <v>46086</v>
      </c>
      <c r="C655" s="12" t="s">
        <v>1066</v>
      </c>
      <c r="D655" s="12">
        <v>938</v>
      </c>
      <c r="E655" s="12" t="s">
        <v>1164</v>
      </c>
    </row>
    <row r="656" spans="1:5" x14ac:dyDescent="0.25">
      <c r="A656" s="12" t="s">
        <v>655</v>
      </c>
      <c r="B656" s="13">
        <v>46087</v>
      </c>
      <c r="C656" s="12" t="s">
        <v>1073</v>
      </c>
      <c r="D656" s="12">
        <v>970</v>
      </c>
      <c r="E656" s="12" t="s">
        <v>1147</v>
      </c>
    </row>
    <row r="657" spans="1:5" x14ac:dyDescent="0.25">
      <c r="A657" s="12" t="s">
        <v>656</v>
      </c>
      <c r="B657" s="13">
        <v>46087</v>
      </c>
      <c r="C657" s="12" t="s">
        <v>1096</v>
      </c>
      <c r="D657" s="12">
        <v>132</v>
      </c>
      <c r="E657" s="12" t="s">
        <v>1212</v>
      </c>
    </row>
    <row r="658" spans="1:5" x14ac:dyDescent="0.25">
      <c r="A658" s="12" t="s">
        <v>657</v>
      </c>
      <c r="B658" s="13">
        <v>46087</v>
      </c>
      <c r="C658" s="12" t="s">
        <v>1105</v>
      </c>
      <c r="D658" s="12">
        <v>134</v>
      </c>
      <c r="E658" s="12" t="s">
        <v>1228</v>
      </c>
    </row>
    <row r="659" spans="1:5" x14ac:dyDescent="0.25">
      <c r="A659" s="12" t="s">
        <v>658</v>
      </c>
      <c r="B659" s="13">
        <v>46088</v>
      </c>
      <c r="C659" s="12" t="s">
        <v>1101</v>
      </c>
      <c r="D659" s="12">
        <v>270</v>
      </c>
      <c r="E659" s="12" t="s">
        <v>1155</v>
      </c>
    </row>
    <row r="660" spans="1:5" x14ac:dyDescent="0.25">
      <c r="A660" s="12" t="s">
        <v>659</v>
      </c>
      <c r="B660" s="13">
        <v>46088</v>
      </c>
      <c r="C660" s="12" t="s">
        <v>1066</v>
      </c>
      <c r="D660" s="12">
        <v>975</v>
      </c>
      <c r="E660" s="12" t="s">
        <v>1150</v>
      </c>
    </row>
    <row r="661" spans="1:5" x14ac:dyDescent="0.25">
      <c r="A661" s="12" t="s">
        <v>660</v>
      </c>
      <c r="B661" s="13">
        <v>46090</v>
      </c>
      <c r="C661" s="12" t="s">
        <v>1041</v>
      </c>
      <c r="D661" s="12">
        <v>793</v>
      </c>
      <c r="E661" s="12" t="s">
        <v>1149</v>
      </c>
    </row>
    <row r="662" spans="1:5" x14ac:dyDescent="0.25">
      <c r="A662" s="12" t="s">
        <v>661</v>
      </c>
      <c r="B662" s="13">
        <v>46090</v>
      </c>
      <c r="C662" s="12" t="s">
        <v>1061</v>
      </c>
      <c r="D662" s="12">
        <v>936</v>
      </c>
      <c r="E662" s="12" t="s">
        <v>1140</v>
      </c>
    </row>
    <row r="663" spans="1:5" x14ac:dyDescent="0.25">
      <c r="A663" s="12" t="s">
        <v>662</v>
      </c>
      <c r="B663" s="13">
        <v>46091</v>
      </c>
      <c r="C663" s="12" t="s">
        <v>1053</v>
      </c>
      <c r="D663" s="12">
        <v>309</v>
      </c>
      <c r="E663" s="12" t="s">
        <v>1218</v>
      </c>
    </row>
    <row r="664" spans="1:5" x14ac:dyDescent="0.25">
      <c r="A664" s="12" t="s">
        <v>663</v>
      </c>
      <c r="B664" s="13">
        <v>46091</v>
      </c>
      <c r="C664" s="12" t="s">
        <v>1105</v>
      </c>
      <c r="D664" s="12">
        <v>910</v>
      </c>
      <c r="E664" s="12" t="s">
        <v>1225</v>
      </c>
    </row>
    <row r="665" spans="1:5" x14ac:dyDescent="0.25">
      <c r="A665" s="12" t="s">
        <v>664</v>
      </c>
      <c r="B665" s="13">
        <v>46091</v>
      </c>
      <c r="C665" s="12" t="s">
        <v>1075</v>
      </c>
      <c r="D665" s="12">
        <v>411</v>
      </c>
      <c r="E665" s="12" t="s">
        <v>1214</v>
      </c>
    </row>
    <row r="666" spans="1:5" x14ac:dyDescent="0.25">
      <c r="A666" s="12" t="s">
        <v>665</v>
      </c>
      <c r="B666" s="13">
        <v>46092</v>
      </c>
      <c r="C666" s="12" t="s">
        <v>1061</v>
      </c>
      <c r="D666" s="12">
        <v>700</v>
      </c>
      <c r="E666" s="12" t="s">
        <v>1135</v>
      </c>
    </row>
    <row r="667" spans="1:5" x14ac:dyDescent="0.25">
      <c r="A667" s="12" t="s">
        <v>666</v>
      </c>
      <c r="B667" s="13">
        <v>46092</v>
      </c>
      <c r="C667" s="12" t="s">
        <v>1045</v>
      </c>
      <c r="D667" s="12">
        <v>976</v>
      </c>
      <c r="E667" s="12" t="s">
        <v>1155</v>
      </c>
    </row>
    <row r="668" spans="1:5" x14ac:dyDescent="0.25">
      <c r="A668" s="12" t="s">
        <v>667</v>
      </c>
      <c r="B668" s="13">
        <v>46093</v>
      </c>
      <c r="C668" s="12" t="s">
        <v>1042</v>
      </c>
      <c r="D668" s="12">
        <v>411</v>
      </c>
      <c r="E668" s="12" t="s">
        <v>1188</v>
      </c>
    </row>
    <row r="669" spans="1:5" x14ac:dyDescent="0.25">
      <c r="A669" s="12" t="s">
        <v>668</v>
      </c>
      <c r="B669" s="13">
        <v>46093</v>
      </c>
      <c r="C669" s="12" t="s">
        <v>1048</v>
      </c>
      <c r="D669" s="12">
        <v>867</v>
      </c>
      <c r="E669" s="12" t="s">
        <v>1190</v>
      </c>
    </row>
    <row r="670" spans="1:5" x14ac:dyDescent="0.25">
      <c r="A670" s="12" t="s">
        <v>669</v>
      </c>
      <c r="B670" s="13">
        <v>46095</v>
      </c>
      <c r="C670" s="12" t="s">
        <v>1096</v>
      </c>
      <c r="D670" s="12">
        <v>438</v>
      </c>
      <c r="E670" s="12" t="s">
        <v>1136</v>
      </c>
    </row>
    <row r="671" spans="1:5" x14ac:dyDescent="0.25">
      <c r="A671" s="12" t="s">
        <v>670</v>
      </c>
      <c r="B671" s="13">
        <v>46095</v>
      </c>
      <c r="C671" s="12" t="s">
        <v>1049</v>
      </c>
      <c r="D671" s="12">
        <v>822</v>
      </c>
      <c r="E671" s="12" t="s">
        <v>1165</v>
      </c>
    </row>
    <row r="672" spans="1:5" x14ac:dyDescent="0.25">
      <c r="A672" s="12" t="s">
        <v>671</v>
      </c>
      <c r="B672" s="13">
        <v>46095</v>
      </c>
      <c r="C672" s="12" t="s">
        <v>1063</v>
      </c>
      <c r="D672" s="12">
        <v>332</v>
      </c>
      <c r="E672" s="12" t="s">
        <v>1181</v>
      </c>
    </row>
    <row r="673" spans="1:5" x14ac:dyDescent="0.25">
      <c r="A673" s="12" t="s">
        <v>672</v>
      </c>
      <c r="B673" s="13">
        <v>46095</v>
      </c>
      <c r="C673" s="12" t="s">
        <v>1088</v>
      </c>
      <c r="D673" s="12">
        <v>118</v>
      </c>
      <c r="E673" s="12" t="s">
        <v>1209</v>
      </c>
    </row>
    <row r="674" spans="1:5" x14ac:dyDescent="0.25">
      <c r="A674" s="12" t="s">
        <v>673</v>
      </c>
      <c r="B674" s="13">
        <v>46095</v>
      </c>
      <c r="C674" s="12" t="s">
        <v>1082</v>
      </c>
      <c r="D674" s="12">
        <v>500</v>
      </c>
      <c r="E674" s="12" t="s">
        <v>1195</v>
      </c>
    </row>
    <row r="675" spans="1:5" x14ac:dyDescent="0.25">
      <c r="A675" s="12" t="s">
        <v>674</v>
      </c>
      <c r="B675" s="13">
        <v>46095</v>
      </c>
      <c r="C675" s="12" t="s">
        <v>1090</v>
      </c>
      <c r="D675" s="12">
        <v>140</v>
      </c>
      <c r="E675" s="12" t="s">
        <v>1164</v>
      </c>
    </row>
    <row r="676" spans="1:5" x14ac:dyDescent="0.25">
      <c r="A676" s="12" t="s">
        <v>675</v>
      </c>
      <c r="B676" s="13">
        <v>46095</v>
      </c>
      <c r="C676" s="12" t="s">
        <v>1052</v>
      </c>
      <c r="D676" s="12">
        <v>146</v>
      </c>
      <c r="E676" s="12" t="s">
        <v>1139</v>
      </c>
    </row>
    <row r="677" spans="1:5" x14ac:dyDescent="0.25">
      <c r="A677" s="12" t="s">
        <v>676</v>
      </c>
      <c r="B677" s="13">
        <v>46095</v>
      </c>
      <c r="C677" s="12" t="s">
        <v>1093</v>
      </c>
      <c r="D677" s="12">
        <v>875</v>
      </c>
      <c r="E677" s="12" t="s">
        <v>1191</v>
      </c>
    </row>
    <row r="678" spans="1:5" x14ac:dyDescent="0.25">
      <c r="A678" s="12" t="s">
        <v>677</v>
      </c>
      <c r="B678" s="13">
        <v>46096</v>
      </c>
      <c r="C678" s="12" t="s">
        <v>1092</v>
      </c>
      <c r="D678" s="12">
        <v>471</v>
      </c>
      <c r="E678" s="12" t="s">
        <v>1159</v>
      </c>
    </row>
    <row r="679" spans="1:5" x14ac:dyDescent="0.25">
      <c r="A679" s="12" t="s">
        <v>678</v>
      </c>
      <c r="B679" s="13">
        <v>46097</v>
      </c>
      <c r="C679" s="12" t="s">
        <v>1088</v>
      </c>
      <c r="D679" s="12">
        <v>947</v>
      </c>
      <c r="E679" s="12" t="s">
        <v>1150</v>
      </c>
    </row>
    <row r="680" spans="1:5" x14ac:dyDescent="0.25">
      <c r="A680" s="12" t="s">
        <v>679</v>
      </c>
      <c r="B680" s="13">
        <v>46097</v>
      </c>
      <c r="C680" s="12" t="s">
        <v>1037</v>
      </c>
      <c r="D680" s="12">
        <v>352</v>
      </c>
      <c r="E680" s="12" t="s">
        <v>1219</v>
      </c>
    </row>
    <row r="681" spans="1:5" x14ac:dyDescent="0.25">
      <c r="A681" s="12" t="s">
        <v>680</v>
      </c>
      <c r="B681" s="13">
        <v>46097</v>
      </c>
      <c r="C681" s="12" t="s">
        <v>1101</v>
      </c>
      <c r="D681" s="12">
        <v>171</v>
      </c>
      <c r="E681" s="12" t="s">
        <v>1149</v>
      </c>
    </row>
    <row r="682" spans="1:5" x14ac:dyDescent="0.25">
      <c r="A682" s="12" t="s">
        <v>681</v>
      </c>
      <c r="B682" s="13">
        <v>46097</v>
      </c>
      <c r="C682" s="12" t="s">
        <v>1045</v>
      </c>
      <c r="D682" s="12">
        <v>195</v>
      </c>
      <c r="E682" s="12" t="s">
        <v>1202</v>
      </c>
    </row>
    <row r="683" spans="1:5" x14ac:dyDescent="0.25">
      <c r="A683" s="12" t="s">
        <v>682</v>
      </c>
      <c r="B683" s="13">
        <v>46098</v>
      </c>
      <c r="C683" s="12" t="s">
        <v>1080</v>
      </c>
      <c r="D683" s="12">
        <v>534</v>
      </c>
      <c r="E683" s="12" t="s">
        <v>1217</v>
      </c>
    </row>
    <row r="684" spans="1:5" x14ac:dyDescent="0.25">
      <c r="A684" s="12" t="s">
        <v>683</v>
      </c>
      <c r="B684" s="13">
        <v>46098</v>
      </c>
      <c r="C684" s="12" t="s">
        <v>1053</v>
      </c>
      <c r="D684" s="12">
        <v>740</v>
      </c>
      <c r="E684" s="12" t="s">
        <v>1156</v>
      </c>
    </row>
    <row r="685" spans="1:5" x14ac:dyDescent="0.25">
      <c r="A685" s="12" t="s">
        <v>684</v>
      </c>
      <c r="B685" s="13">
        <v>46098</v>
      </c>
      <c r="C685" s="12" t="s">
        <v>1092</v>
      </c>
      <c r="D685" s="12">
        <v>414</v>
      </c>
      <c r="E685" s="12" t="s">
        <v>1183</v>
      </c>
    </row>
    <row r="686" spans="1:5" x14ac:dyDescent="0.25">
      <c r="A686" s="12" t="s">
        <v>685</v>
      </c>
      <c r="B686" s="13">
        <v>46099</v>
      </c>
      <c r="C686" s="12" t="s">
        <v>1096</v>
      </c>
      <c r="D686" s="12">
        <v>304</v>
      </c>
      <c r="E686" s="12" t="s">
        <v>1168</v>
      </c>
    </row>
    <row r="687" spans="1:5" x14ac:dyDescent="0.25">
      <c r="A687" s="12" t="s">
        <v>686</v>
      </c>
      <c r="B687" s="13">
        <v>46099</v>
      </c>
      <c r="C687" s="12" t="s">
        <v>1105</v>
      </c>
      <c r="D687" s="12">
        <v>394</v>
      </c>
      <c r="E687" s="12" t="s">
        <v>1181</v>
      </c>
    </row>
    <row r="688" spans="1:5" x14ac:dyDescent="0.25">
      <c r="A688" s="12" t="s">
        <v>687</v>
      </c>
      <c r="B688" s="13">
        <v>46100</v>
      </c>
      <c r="C688" s="12" t="s">
        <v>1037</v>
      </c>
      <c r="D688" s="12">
        <v>467</v>
      </c>
      <c r="E688" s="12" t="s">
        <v>1161</v>
      </c>
    </row>
    <row r="689" spans="1:5" x14ac:dyDescent="0.25">
      <c r="A689" s="12" t="s">
        <v>688</v>
      </c>
      <c r="B689" s="13">
        <v>46100</v>
      </c>
      <c r="C689" s="12" t="s">
        <v>1105</v>
      </c>
      <c r="D689" s="12">
        <v>214</v>
      </c>
      <c r="E689" s="12" t="s">
        <v>1225</v>
      </c>
    </row>
    <row r="690" spans="1:5" x14ac:dyDescent="0.25">
      <c r="A690" s="12" t="s">
        <v>689</v>
      </c>
      <c r="B690" s="13">
        <v>46100</v>
      </c>
      <c r="C690" s="12" t="s">
        <v>1061</v>
      </c>
      <c r="D690" s="12">
        <v>249</v>
      </c>
      <c r="E690" s="12" t="s">
        <v>1204</v>
      </c>
    </row>
    <row r="691" spans="1:5" x14ac:dyDescent="0.25">
      <c r="A691" s="12" t="s">
        <v>690</v>
      </c>
      <c r="B691" s="13">
        <v>46100</v>
      </c>
      <c r="C691" s="12" t="s">
        <v>1101</v>
      </c>
      <c r="D691" s="12">
        <v>162</v>
      </c>
      <c r="E691" s="12" t="s">
        <v>1175</v>
      </c>
    </row>
    <row r="692" spans="1:5" x14ac:dyDescent="0.25">
      <c r="A692" s="12" t="s">
        <v>691</v>
      </c>
      <c r="B692" s="13">
        <v>46100</v>
      </c>
      <c r="C692" s="12" t="s">
        <v>1080</v>
      </c>
      <c r="D692" s="12">
        <v>627</v>
      </c>
      <c r="E692" s="12" t="s">
        <v>1195</v>
      </c>
    </row>
    <row r="693" spans="1:5" x14ac:dyDescent="0.25">
      <c r="A693" s="12" t="s">
        <v>692</v>
      </c>
      <c r="B693" s="13">
        <v>46100</v>
      </c>
      <c r="C693" s="12" t="s">
        <v>1105</v>
      </c>
      <c r="D693" s="12">
        <v>803</v>
      </c>
      <c r="E693" s="12" t="s">
        <v>1175</v>
      </c>
    </row>
    <row r="694" spans="1:5" x14ac:dyDescent="0.25">
      <c r="A694" s="12" t="s">
        <v>693</v>
      </c>
      <c r="B694" s="13">
        <v>46100</v>
      </c>
      <c r="C694" s="12" t="s">
        <v>1037</v>
      </c>
      <c r="D694" s="12">
        <v>344</v>
      </c>
      <c r="E694" s="12" t="s">
        <v>1178</v>
      </c>
    </row>
    <row r="695" spans="1:5" x14ac:dyDescent="0.25">
      <c r="A695" s="12" t="s">
        <v>694</v>
      </c>
      <c r="B695" s="13">
        <v>46102</v>
      </c>
      <c r="C695" s="12" t="s">
        <v>1049</v>
      </c>
      <c r="D695" s="12">
        <v>704</v>
      </c>
      <c r="E695" s="12" t="s">
        <v>1151</v>
      </c>
    </row>
    <row r="696" spans="1:5" x14ac:dyDescent="0.25">
      <c r="A696" s="12" t="s">
        <v>695</v>
      </c>
      <c r="B696" s="13">
        <v>46102</v>
      </c>
      <c r="C696" s="12" t="s">
        <v>1049</v>
      </c>
      <c r="D696" s="12">
        <v>506</v>
      </c>
      <c r="E696" s="12" t="s">
        <v>1137</v>
      </c>
    </row>
    <row r="697" spans="1:5" x14ac:dyDescent="0.25">
      <c r="A697" s="12" t="s">
        <v>696</v>
      </c>
      <c r="B697" s="13">
        <v>46102</v>
      </c>
      <c r="C697" s="12" t="s">
        <v>1098</v>
      </c>
      <c r="D697" s="12">
        <v>556</v>
      </c>
      <c r="E697" s="12" t="s">
        <v>1157</v>
      </c>
    </row>
    <row r="698" spans="1:5" x14ac:dyDescent="0.25">
      <c r="A698" s="12" t="s">
        <v>697</v>
      </c>
      <c r="B698" s="13">
        <v>46103</v>
      </c>
      <c r="C698" s="12" t="s">
        <v>1063</v>
      </c>
      <c r="D698" s="12">
        <v>692</v>
      </c>
      <c r="E698" s="12" t="s">
        <v>1170</v>
      </c>
    </row>
    <row r="699" spans="1:5" x14ac:dyDescent="0.25">
      <c r="A699" s="12" t="s">
        <v>698</v>
      </c>
      <c r="B699" s="13">
        <v>46103</v>
      </c>
      <c r="C699" s="12" t="s">
        <v>1031</v>
      </c>
      <c r="D699" s="12">
        <v>744</v>
      </c>
      <c r="E699" s="12" t="s">
        <v>1195</v>
      </c>
    </row>
    <row r="700" spans="1:5" x14ac:dyDescent="0.25">
      <c r="A700" s="12" t="s">
        <v>699</v>
      </c>
      <c r="B700" s="13">
        <v>46103</v>
      </c>
      <c r="C700" s="12" t="s">
        <v>1045</v>
      </c>
      <c r="D700" s="12">
        <v>753</v>
      </c>
      <c r="E700" s="12" t="s">
        <v>1183</v>
      </c>
    </row>
    <row r="701" spans="1:5" x14ac:dyDescent="0.25">
      <c r="A701" s="12" t="s">
        <v>700</v>
      </c>
      <c r="B701" s="13">
        <v>46104</v>
      </c>
      <c r="C701" s="12" t="s">
        <v>1027</v>
      </c>
      <c r="D701" s="12">
        <v>756</v>
      </c>
      <c r="E701" s="12" t="s">
        <v>1178</v>
      </c>
    </row>
    <row r="702" spans="1:5" x14ac:dyDescent="0.25">
      <c r="A702" s="12" t="s">
        <v>701</v>
      </c>
      <c r="B702" s="13">
        <v>46104</v>
      </c>
      <c r="C702" s="12" t="s">
        <v>1098</v>
      </c>
      <c r="D702" s="12">
        <v>921</v>
      </c>
      <c r="E702" s="12" t="s">
        <v>1217</v>
      </c>
    </row>
    <row r="703" spans="1:5" x14ac:dyDescent="0.25">
      <c r="A703" s="12" t="s">
        <v>702</v>
      </c>
      <c r="B703" s="13">
        <v>46104</v>
      </c>
      <c r="C703" s="12" t="s">
        <v>1066</v>
      </c>
      <c r="D703" s="12">
        <v>302</v>
      </c>
      <c r="E703" s="12" t="s">
        <v>1173</v>
      </c>
    </row>
    <row r="704" spans="1:5" x14ac:dyDescent="0.25">
      <c r="A704" s="12" t="s">
        <v>703</v>
      </c>
      <c r="B704" s="13">
        <v>46104</v>
      </c>
      <c r="C704" s="12" t="s">
        <v>1042</v>
      </c>
      <c r="D704" s="12">
        <v>821</v>
      </c>
      <c r="E704" s="12" t="s">
        <v>1184</v>
      </c>
    </row>
    <row r="705" spans="1:5" x14ac:dyDescent="0.25">
      <c r="A705" s="12" t="s">
        <v>704</v>
      </c>
      <c r="B705" s="13">
        <v>46105</v>
      </c>
      <c r="C705" s="12" t="s">
        <v>1039</v>
      </c>
      <c r="D705" s="12">
        <v>389</v>
      </c>
      <c r="E705" s="12" t="s">
        <v>1135</v>
      </c>
    </row>
    <row r="706" spans="1:5" x14ac:dyDescent="0.25">
      <c r="A706" s="12" t="s">
        <v>705</v>
      </c>
      <c r="B706" s="13">
        <v>46105</v>
      </c>
      <c r="C706" s="12" t="s">
        <v>1046</v>
      </c>
      <c r="D706" s="12">
        <v>603</v>
      </c>
      <c r="E706" s="12" t="s">
        <v>1172</v>
      </c>
    </row>
    <row r="707" spans="1:5" x14ac:dyDescent="0.25">
      <c r="A707" s="12" t="s">
        <v>706</v>
      </c>
      <c r="B707" s="13">
        <v>46105</v>
      </c>
      <c r="C707" s="12" t="s">
        <v>1105</v>
      </c>
      <c r="D707" s="12">
        <v>145</v>
      </c>
      <c r="E707" s="12" t="s">
        <v>1157</v>
      </c>
    </row>
    <row r="708" spans="1:5" x14ac:dyDescent="0.25">
      <c r="A708" s="12" t="s">
        <v>707</v>
      </c>
      <c r="B708" s="13">
        <v>46105</v>
      </c>
      <c r="C708" s="12" t="s">
        <v>1080</v>
      </c>
      <c r="D708" s="12">
        <v>915</v>
      </c>
      <c r="E708" s="12" t="s">
        <v>1219</v>
      </c>
    </row>
    <row r="709" spans="1:5" x14ac:dyDescent="0.25">
      <c r="A709" s="12" t="s">
        <v>708</v>
      </c>
      <c r="B709" s="13">
        <v>46106</v>
      </c>
      <c r="C709" s="12" t="s">
        <v>1070</v>
      </c>
      <c r="D709" s="12">
        <v>786</v>
      </c>
      <c r="E709" s="12" t="s">
        <v>1182</v>
      </c>
    </row>
    <row r="710" spans="1:5" x14ac:dyDescent="0.25">
      <c r="A710" s="12" t="s">
        <v>709</v>
      </c>
      <c r="B710" s="13">
        <v>46106</v>
      </c>
      <c r="C710" s="12" t="s">
        <v>1041</v>
      </c>
      <c r="D710" s="12">
        <v>511</v>
      </c>
      <c r="E710" s="12" t="s">
        <v>1160</v>
      </c>
    </row>
    <row r="711" spans="1:5" x14ac:dyDescent="0.25">
      <c r="A711" s="12" t="s">
        <v>710</v>
      </c>
      <c r="B711" s="13">
        <v>46106</v>
      </c>
      <c r="C711" s="12" t="s">
        <v>1086</v>
      </c>
      <c r="D711" s="12">
        <v>910</v>
      </c>
      <c r="E711" s="12" t="s">
        <v>1186</v>
      </c>
    </row>
    <row r="712" spans="1:5" x14ac:dyDescent="0.25">
      <c r="A712" s="12" t="s">
        <v>711</v>
      </c>
      <c r="B712" s="13">
        <v>46107</v>
      </c>
      <c r="C712" s="12" t="s">
        <v>1103</v>
      </c>
      <c r="D712" s="12">
        <v>368</v>
      </c>
      <c r="E712" s="12" t="s">
        <v>1154</v>
      </c>
    </row>
    <row r="713" spans="1:5" x14ac:dyDescent="0.25">
      <c r="A713" s="12" t="s">
        <v>712</v>
      </c>
      <c r="B713" s="13">
        <v>46107</v>
      </c>
      <c r="C713" s="12" t="s">
        <v>1058</v>
      </c>
      <c r="D713" s="12">
        <v>666</v>
      </c>
      <c r="E713" s="12" t="s">
        <v>1193</v>
      </c>
    </row>
    <row r="714" spans="1:5" x14ac:dyDescent="0.25">
      <c r="A714" s="12" t="s">
        <v>713</v>
      </c>
      <c r="B714" s="13">
        <v>46107</v>
      </c>
      <c r="C714" s="12" t="s">
        <v>1084</v>
      </c>
      <c r="D714" s="12">
        <v>546</v>
      </c>
      <c r="E714" s="12" t="s">
        <v>1172</v>
      </c>
    </row>
    <row r="715" spans="1:5" x14ac:dyDescent="0.25">
      <c r="A715" s="12" t="s">
        <v>714</v>
      </c>
      <c r="B715" s="13">
        <v>46107</v>
      </c>
      <c r="C715" s="12" t="s">
        <v>1041</v>
      </c>
      <c r="D715" s="12">
        <v>600</v>
      </c>
      <c r="E715" s="12" t="s">
        <v>1200</v>
      </c>
    </row>
    <row r="716" spans="1:5" x14ac:dyDescent="0.25">
      <c r="A716" s="12" t="s">
        <v>715</v>
      </c>
      <c r="B716" s="13">
        <v>46108</v>
      </c>
      <c r="C716" s="12" t="s">
        <v>1042</v>
      </c>
      <c r="D716" s="12">
        <v>628</v>
      </c>
      <c r="E716" s="12" t="s">
        <v>1229</v>
      </c>
    </row>
    <row r="717" spans="1:5" x14ac:dyDescent="0.25">
      <c r="A717" s="12" t="s">
        <v>716</v>
      </c>
      <c r="B717" s="13">
        <v>46108</v>
      </c>
      <c r="C717" s="12" t="s">
        <v>1093</v>
      </c>
      <c r="D717" s="12">
        <v>361</v>
      </c>
      <c r="E717" s="12" t="s">
        <v>1154</v>
      </c>
    </row>
    <row r="718" spans="1:5" x14ac:dyDescent="0.25">
      <c r="A718" s="12" t="s">
        <v>717</v>
      </c>
      <c r="B718" s="13">
        <v>46109</v>
      </c>
      <c r="C718" s="12" t="s">
        <v>1034</v>
      </c>
      <c r="D718" s="12">
        <v>808</v>
      </c>
      <c r="E718" s="12" t="s">
        <v>1202</v>
      </c>
    </row>
    <row r="719" spans="1:5" x14ac:dyDescent="0.25">
      <c r="A719" s="12" t="s">
        <v>718</v>
      </c>
      <c r="B719" s="13">
        <v>46109</v>
      </c>
      <c r="C719" s="12" t="s">
        <v>1061</v>
      </c>
      <c r="D719" s="12">
        <v>980</v>
      </c>
      <c r="E719" s="12" t="s">
        <v>1228</v>
      </c>
    </row>
    <row r="720" spans="1:5" x14ac:dyDescent="0.25">
      <c r="A720" s="12" t="s">
        <v>719</v>
      </c>
      <c r="B720" s="13">
        <v>46110</v>
      </c>
      <c r="C720" s="12" t="s">
        <v>1041</v>
      </c>
      <c r="D720" s="12">
        <v>264</v>
      </c>
      <c r="E720" s="12" t="s">
        <v>1155</v>
      </c>
    </row>
    <row r="721" spans="1:5" x14ac:dyDescent="0.25">
      <c r="A721" s="12" t="s">
        <v>720</v>
      </c>
      <c r="B721" s="13">
        <v>46110</v>
      </c>
      <c r="C721" s="12" t="s">
        <v>1092</v>
      </c>
      <c r="D721" s="12">
        <v>115</v>
      </c>
      <c r="E721" s="12" t="s">
        <v>1212</v>
      </c>
    </row>
    <row r="722" spans="1:5" x14ac:dyDescent="0.25">
      <c r="A722" s="12" t="s">
        <v>721</v>
      </c>
      <c r="B722" s="13">
        <v>46111</v>
      </c>
      <c r="C722" s="12" t="s">
        <v>1039</v>
      </c>
      <c r="D722" s="12">
        <v>282</v>
      </c>
      <c r="E722" s="12" t="s">
        <v>1165</v>
      </c>
    </row>
    <row r="723" spans="1:5" x14ac:dyDescent="0.25">
      <c r="A723" s="12" t="s">
        <v>722</v>
      </c>
      <c r="B723" s="13">
        <v>46111</v>
      </c>
      <c r="C723" s="12" t="s">
        <v>1096</v>
      </c>
      <c r="D723" s="12">
        <v>245</v>
      </c>
      <c r="E723" s="12" t="s">
        <v>1206</v>
      </c>
    </row>
    <row r="724" spans="1:5" x14ac:dyDescent="0.25">
      <c r="A724" s="12" t="s">
        <v>723</v>
      </c>
      <c r="B724" s="13">
        <v>46111</v>
      </c>
      <c r="C724" s="12" t="s">
        <v>1096</v>
      </c>
      <c r="D724" s="12">
        <v>629</v>
      </c>
      <c r="E724" s="12" t="s">
        <v>1168</v>
      </c>
    </row>
    <row r="725" spans="1:5" x14ac:dyDescent="0.25">
      <c r="A725" s="12" t="s">
        <v>724</v>
      </c>
      <c r="B725" s="13">
        <v>46111</v>
      </c>
      <c r="C725" s="12" t="s">
        <v>1080</v>
      </c>
      <c r="D725" s="12">
        <v>421</v>
      </c>
      <c r="E725" s="12" t="s">
        <v>1162</v>
      </c>
    </row>
    <row r="726" spans="1:5" x14ac:dyDescent="0.25">
      <c r="A726" s="12" t="s">
        <v>725</v>
      </c>
      <c r="B726" s="13">
        <v>46112</v>
      </c>
      <c r="C726" s="12" t="s">
        <v>1080</v>
      </c>
      <c r="D726" s="12">
        <v>854</v>
      </c>
      <c r="E726" s="12" t="s">
        <v>1222</v>
      </c>
    </row>
    <row r="727" spans="1:5" x14ac:dyDescent="0.25">
      <c r="A727" s="12" t="s">
        <v>726</v>
      </c>
      <c r="B727" s="13">
        <v>46112</v>
      </c>
      <c r="C727" s="12" t="s">
        <v>1053</v>
      </c>
      <c r="D727" s="12">
        <v>767</v>
      </c>
      <c r="E727" s="12" t="s">
        <v>1180</v>
      </c>
    </row>
    <row r="728" spans="1:5" x14ac:dyDescent="0.25">
      <c r="A728" s="12" t="s">
        <v>727</v>
      </c>
      <c r="B728" s="13">
        <v>46113</v>
      </c>
      <c r="C728" s="12" t="s">
        <v>1095</v>
      </c>
      <c r="D728" s="12">
        <v>761</v>
      </c>
      <c r="E728" s="12" t="s">
        <v>1221</v>
      </c>
    </row>
    <row r="729" spans="1:5" x14ac:dyDescent="0.25">
      <c r="A729" s="12" t="s">
        <v>728</v>
      </c>
      <c r="B729" s="13">
        <v>46113</v>
      </c>
      <c r="C729" s="12" t="s">
        <v>1082</v>
      </c>
      <c r="D729" s="12">
        <v>989</v>
      </c>
      <c r="E729" s="12" t="s">
        <v>1206</v>
      </c>
    </row>
    <row r="730" spans="1:5" x14ac:dyDescent="0.25">
      <c r="A730" s="12" t="s">
        <v>729</v>
      </c>
      <c r="B730" s="13">
        <v>46114</v>
      </c>
      <c r="C730" s="12" t="s">
        <v>1064</v>
      </c>
      <c r="D730" s="12">
        <v>636</v>
      </c>
      <c r="E730" s="12" t="s">
        <v>1174</v>
      </c>
    </row>
    <row r="731" spans="1:5" x14ac:dyDescent="0.25">
      <c r="A731" s="12" t="s">
        <v>730</v>
      </c>
      <c r="B731" s="13">
        <v>46114</v>
      </c>
      <c r="C731" s="12" t="s">
        <v>1068</v>
      </c>
      <c r="D731" s="12">
        <v>615</v>
      </c>
      <c r="E731" s="12" t="s">
        <v>1185</v>
      </c>
    </row>
    <row r="732" spans="1:5" x14ac:dyDescent="0.25">
      <c r="A732" s="12" t="s">
        <v>731</v>
      </c>
      <c r="B732" s="13">
        <v>46114</v>
      </c>
      <c r="C732" s="12" t="s">
        <v>1090</v>
      </c>
      <c r="D732" s="12">
        <v>562</v>
      </c>
      <c r="E732" s="12" t="s">
        <v>1138</v>
      </c>
    </row>
    <row r="733" spans="1:5" x14ac:dyDescent="0.25">
      <c r="A733" s="12" t="s">
        <v>732</v>
      </c>
      <c r="B733" s="13">
        <v>46115</v>
      </c>
      <c r="C733" s="12" t="s">
        <v>1070</v>
      </c>
      <c r="D733" s="12">
        <v>200</v>
      </c>
      <c r="E733" s="12" t="s">
        <v>1200</v>
      </c>
    </row>
    <row r="734" spans="1:5" x14ac:dyDescent="0.25">
      <c r="A734" s="12" t="s">
        <v>733</v>
      </c>
      <c r="B734" s="13">
        <v>46115</v>
      </c>
      <c r="C734" s="12" t="s">
        <v>1042</v>
      </c>
      <c r="D734" s="12">
        <v>192</v>
      </c>
      <c r="E734" s="12" t="s">
        <v>1162</v>
      </c>
    </row>
    <row r="735" spans="1:5" x14ac:dyDescent="0.25">
      <c r="A735" s="12" t="s">
        <v>734</v>
      </c>
      <c r="B735" s="13">
        <v>46116</v>
      </c>
      <c r="C735" s="12" t="s">
        <v>1092</v>
      </c>
      <c r="D735" s="12">
        <v>449</v>
      </c>
      <c r="E735" s="12" t="s">
        <v>1171</v>
      </c>
    </row>
    <row r="736" spans="1:5" x14ac:dyDescent="0.25">
      <c r="A736" s="12" t="s">
        <v>735</v>
      </c>
      <c r="B736" s="13">
        <v>46116</v>
      </c>
      <c r="C736" s="12" t="s">
        <v>1105</v>
      </c>
      <c r="D736" s="12">
        <v>170</v>
      </c>
      <c r="E736" s="12" t="s">
        <v>1166</v>
      </c>
    </row>
    <row r="737" spans="1:5" x14ac:dyDescent="0.25">
      <c r="A737" s="12" t="s">
        <v>736</v>
      </c>
      <c r="B737" s="13">
        <v>46117</v>
      </c>
      <c r="C737" s="12" t="s">
        <v>1068</v>
      </c>
      <c r="D737" s="12">
        <v>987</v>
      </c>
      <c r="E737" s="12" t="s">
        <v>1153</v>
      </c>
    </row>
    <row r="738" spans="1:5" x14ac:dyDescent="0.25">
      <c r="A738" s="12" t="s">
        <v>737</v>
      </c>
      <c r="B738" s="13">
        <v>46117</v>
      </c>
      <c r="C738" s="12" t="s">
        <v>1048</v>
      </c>
      <c r="D738" s="12">
        <v>315</v>
      </c>
      <c r="E738" s="12" t="s">
        <v>1200</v>
      </c>
    </row>
    <row r="739" spans="1:5" x14ac:dyDescent="0.25">
      <c r="A739" s="12" t="s">
        <v>738</v>
      </c>
      <c r="B739" s="13">
        <v>46118</v>
      </c>
      <c r="C739" s="12" t="s">
        <v>1103</v>
      </c>
      <c r="D739" s="12">
        <v>337</v>
      </c>
      <c r="E739" s="12" t="s">
        <v>1163</v>
      </c>
    </row>
    <row r="740" spans="1:5" x14ac:dyDescent="0.25">
      <c r="A740" s="12" t="s">
        <v>739</v>
      </c>
      <c r="B740" s="13">
        <v>46119</v>
      </c>
      <c r="C740" s="12" t="s">
        <v>1061</v>
      </c>
      <c r="D740" s="12">
        <v>395</v>
      </c>
      <c r="E740" s="12" t="s">
        <v>1169</v>
      </c>
    </row>
    <row r="741" spans="1:5" x14ac:dyDescent="0.25">
      <c r="A741" s="12" t="s">
        <v>740</v>
      </c>
      <c r="B741" s="13">
        <v>46119</v>
      </c>
      <c r="C741" s="12" t="s">
        <v>1049</v>
      </c>
      <c r="D741" s="12">
        <v>362</v>
      </c>
      <c r="E741" s="12" t="s">
        <v>1190</v>
      </c>
    </row>
    <row r="742" spans="1:5" x14ac:dyDescent="0.25">
      <c r="A742" s="12" t="s">
        <v>741</v>
      </c>
      <c r="B742" s="13">
        <v>46120</v>
      </c>
      <c r="C742" s="12" t="s">
        <v>1098</v>
      </c>
      <c r="D742" s="12">
        <v>761</v>
      </c>
      <c r="E742" s="12" t="s">
        <v>1162</v>
      </c>
    </row>
    <row r="743" spans="1:5" x14ac:dyDescent="0.25">
      <c r="A743" s="12" t="s">
        <v>742</v>
      </c>
      <c r="B743" s="13">
        <v>46120</v>
      </c>
      <c r="C743" s="12" t="s">
        <v>1041</v>
      </c>
      <c r="D743" s="12">
        <v>456</v>
      </c>
      <c r="E743" s="12" t="s">
        <v>1175</v>
      </c>
    </row>
    <row r="744" spans="1:5" x14ac:dyDescent="0.25">
      <c r="A744" s="12" t="s">
        <v>743</v>
      </c>
      <c r="B744" s="13">
        <v>46120</v>
      </c>
      <c r="C744" s="12" t="s">
        <v>1045</v>
      </c>
      <c r="D744" s="12">
        <v>631</v>
      </c>
      <c r="E744" s="12" t="s">
        <v>1189</v>
      </c>
    </row>
    <row r="745" spans="1:5" x14ac:dyDescent="0.25">
      <c r="A745" s="12" t="s">
        <v>744</v>
      </c>
      <c r="B745" s="13">
        <v>46120</v>
      </c>
      <c r="C745" s="12" t="s">
        <v>1064</v>
      </c>
      <c r="D745" s="12">
        <v>784</v>
      </c>
      <c r="E745" s="12" t="s">
        <v>1177</v>
      </c>
    </row>
    <row r="746" spans="1:5" x14ac:dyDescent="0.25">
      <c r="A746" s="12" t="s">
        <v>745</v>
      </c>
      <c r="B746" s="13">
        <v>46122</v>
      </c>
      <c r="C746" s="12" t="s">
        <v>1069</v>
      </c>
      <c r="D746" s="12">
        <v>191</v>
      </c>
      <c r="E746" s="12" t="s">
        <v>1197</v>
      </c>
    </row>
    <row r="747" spans="1:5" x14ac:dyDescent="0.25">
      <c r="A747" s="12" t="s">
        <v>746</v>
      </c>
      <c r="B747" s="13">
        <v>46123</v>
      </c>
      <c r="C747" s="12" t="s">
        <v>1048</v>
      </c>
      <c r="D747" s="12">
        <v>430</v>
      </c>
      <c r="E747" s="12" t="s">
        <v>1204</v>
      </c>
    </row>
    <row r="748" spans="1:5" x14ac:dyDescent="0.25">
      <c r="A748" s="12" t="s">
        <v>747</v>
      </c>
      <c r="B748" s="13">
        <v>46124</v>
      </c>
      <c r="C748" s="12" t="s">
        <v>1078</v>
      </c>
      <c r="D748" s="12">
        <v>591</v>
      </c>
      <c r="E748" s="12" t="s">
        <v>1201</v>
      </c>
    </row>
    <row r="749" spans="1:5" x14ac:dyDescent="0.25">
      <c r="A749" s="12" t="s">
        <v>748</v>
      </c>
      <c r="B749" s="13">
        <v>46125</v>
      </c>
      <c r="C749" s="12" t="s">
        <v>1042</v>
      </c>
      <c r="D749" s="12">
        <v>191</v>
      </c>
      <c r="E749" s="12" t="s">
        <v>1134</v>
      </c>
    </row>
    <row r="750" spans="1:5" x14ac:dyDescent="0.25">
      <c r="A750" s="12" t="s">
        <v>749</v>
      </c>
      <c r="B750" s="13">
        <v>46125</v>
      </c>
      <c r="C750" s="12" t="s">
        <v>1086</v>
      </c>
      <c r="D750" s="12">
        <v>867</v>
      </c>
      <c r="E750" s="12" t="s">
        <v>1229</v>
      </c>
    </row>
    <row r="751" spans="1:5" x14ac:dyDescent="0.25">
      <c r="A751" s="12" t="s">
        <v>750</v>
      </c>
      <c r="B751" s="13">
        <v>46125</v>
      </c>
      <c r="C751" s="12" t="s">
        <v>1101</v>
      </c>
      <c r="D751" s="12">
        <v>404</v>
      </c>
      <c r="E751" s="12" t="s">
        <v>1158</v>
      </c>
    </row>
    <row r="752" spans="1:5" x14ac:dyDescent="0.25">
      <c r="A752" s="12" t="s">
        <v>751</v>
      </c>
      <c r="B752" s="13">
        <v>46125</v>
      </c>
      <c r="C752" s="12" t="s">
        <v>1075</v>
      </c>
      <c r="D752" s="12">
        <v>809</v>
      </c>
      <c r="E752" s="12" t="s">
        <v>1160</v>
      </c>
    </row>
    <row r="753" spans="1:5" x14ac:dyDescent="0.25">
      <c r="A753" s="12" t="s">
        <v>752</v>
      </c>
      <c r="B753" s="13">
        <v>46125</v>
      </c>
      <c r="C753" s="12" t="s">
        <v>1078</v>
      </c>
      <c r="D753" s="12">
        <v>313</v>
      </c>
      <c r="E753" s="12" t="s">
        <v>1186</v>
      </c>
    </row>
    <row r="754" spans="1:5" x14ac:dyDescent="0.25">
      <c r="A754" s="12" t="s">
        <v>753</v>
      </c>
      <c r="B754" s="13">
        <v>46126</v>
      </c>
      <c r="C754" s="12" t="s">
        <v>1058</v>
      </c>
      <c r="D754" s="12">
        <v>380</v>
      </c>
      <c r="E754" s="12" t="s">
        <v>1158</v>
      </c>
    </row>
    <row r="755" spans="1:5" x14ac:dyDescent="0.25">
      <c r="A755" s="12" t="s">
        <v>754</v>
      </c>
      <c r="B755" s="13">
        <v>46126</v>
      </c>
      <c r="C755" s="12" t="s">
        <v>1098</v>
      </c>
      <c r="D755" s="12">
        <v>618</v>
      </c>
      <c r="E755" s="12" t="s">
        <v>1137</v>
      </c>
    </row>
    <row r="756" spans="1:5" x14ac:dyDescent="0.25">
      <c r="A756" s="12" t="s">
        <v>755</v>
      </c>
      <c r="B756" s="13">
        <v>46126</v>
      </c>
      <c r="C756" s="12" t="s">
        <v>1039</v>
      </c>
      <c r="D756" s="12">
        <v>539</v>
      </c>
      <c r="E756" s="12" t="s">
        <v>1137</v>
      </c>
    </row>
    <row r="757" spans="1:5" x14ac:dyDescent="0.25">
      <c r="A757" s="12" t="s">
        <v>756</v>
      </c>
      <c r="B757" s="13">
        <v>46126</v>
      </c>
      <c r="C757" s="12" t="s">
        <v>1078</v>
      </c>
      <c r="D757" s="12">
        <v>690</v>
      </c>
      <c r="E757" s="12" t="s">
        <v>1193</v>
      </c>
    </row>
    <row r="758" spans="1:5" x14ac:dyDescent="0.25">
      <c r="A758" s="12" t="s">
        <v>757</v>
      </c>
      <c r="B758" s="13">
        <v>46127</v>
      </c>
      <c r="C758" s="12" t="s">
        <v>1073</v>
      </c>
      <c r="D758" s="12">
        <v>953</v>
      </c>
      <c r="E758" s="12" t="s">
        <v>1212</v>
      </c>
    </row>
    <row r="759" spans="1:5" x14ac:dyDescent="0.25">
      <c r="A759" s="12" t="s">
        <v>758</v>
      </c>
      <c r="B759" s="13">
        <v>46127</v>
      </c>
      <c r="C759" s="12" t="s">
        <v>1027</v>
      </c>
      <c r="D759" s="12">
        <v>141</v>
      </c>
      <c r="E759" s="12" t="s">
        <v>1145</v>
      </c>
    </row>
    <row r="760" spans="1:5" x14ac:dyDescent="0.25">
      <c r="A760" s="12" t="s">
        <v>759</v>
      </c>
      <c r="B760" s="13">
        <v>46128</v>
      </c>
      <c r="C760" s="12" t="s">
        <v>1082</v>
      </c>
      <c r="D760" s="12">
        <v>404</v>
      </c>
      <c r="E760" s="12" t="s">
        <v>1162</v>
      </c>
    </row>
    <row r="761" spans="1:5" x14ac:dyDescent="0.25">
      <c r="A761" s="12" t="s">
        <v>760</v>
      </c>
      <c r="B761" s="13">
        <v>46130</v>
      </c>
      <c r="C761" s="12" t="s">
        <v>1096</v>
      </c>
      <c r="D761" s="12">
        <v>377</v>
      </c>
      <c r="E761" s="12" t="s">
        <v>1178</v>
      </c>
    </row>
    <row r="762" spans="1:5" x14ac:dyDescent="0.25">
      <c r="A762" s="12" t="s">
        <v>761</v>
      </c>
      <c r="B762" s="13">
        <v>46130</v>
      </c>
      <c r="C762" s="12" t="s">
        <v>1045</v>
      </c>
      <c r="D762" s="12">
        <v>895</v>
      </c>
      <c r="E762" s="12" t="s">
        <v>1201</v>
      </c>
    </row>
    <row r="763" spans="1:5" x14ac:dyDescent="0.25">
      <c r="A763" s="12" t="s">
        <v>762</v>
      </c>
      <c r="B763" s="13">
        <v>46130</v>
      </c>
      <c r="C763" s="12" t="s">
        <v>1086</v>
      </c>
      <c r="D763" s="12">
        <v>240</v>
      </c>
      <c r="E763" s="12" t="s">
        <v>1223</v>
      </c>
    </row>
    <row r="764" spans="1:5" x14ac:dyDescent="0.25">
      <c r="A764" s="12" t="s">
        <v>763</v>
      </c>
      <c r="B764" s="13">
        <v>46132</v>
      </c>
      <c r="C764" s="12" t="s">
        <v>1049</v>
      </c>
      <c r="D764" s="12">
        <v>884</v>
      </c>
      <c r="E764" s="12" t="s">
        <v>1137</v>
      </c>
    </row>
    <row r="765" spans="1:5" x14ac:dyDescent="0.25">
      <c r="A765" s="12" t="s">
        <v>764</v>
      </c>
      <c r="B765" s="13">
        <v>46132</v>
      </c>
      <c r="C765" s="12" t="s">
        <v>1055</v>
      </c>
      <c r="D765" s="12">
        <v>779</v>
      </c>
      <c r="E765" s="12" t="s">
        <v>1225</v>
      </c>
    </row>
    <row r="766" spans="1:5" x14ac:dyDescent="0.25">
      <c r="A766" s="12" t="s">
        <v>765</v>
      </c>
      <c r="B766" s="13">
        <v>46132</v>
      </c>
      <c r="C766" s="12" t="s">
        <v>1080</v>
      </c>
      <c r="D766" s="12">
        <v>833</v>
      </c>
      <c r="E766" s="12" t="s">
        <v>1182</v>
      </c>
    </row>
    <row r="767" spans="1:5" x14ac:dyDescent="0.25">
      <c r="A767" s="12" t="s">
        <v>766</v>
      </c>
      <c r="B767" s="13">
        <v>46132</v>
      </c>
      <c r="C767" s="12" t="s">
        <v>1082</v>
      </c>
      <c r="D767" s="12">
        <v>513</v>
      </c>
      <c r="E767" s="12" t="s">
        <v>1178</v>
      </c>
    </row>
    <row r="768" spans="1:5" x14ac:dyDescent="0.25">
      <c r="A768" s="12" t="s">
        <v>767</v>
      </c>
      <c r="B768" s="13">
        <v>46132</v>
      </c>
      <c r="C768" s="12" t="s">
        <v>1046</v>
      </c>
      <c r="D768" s="12">
        <v>792</v>
      </c>
      <c r="E768" s="12" t="s">
        <v>1151</v>
      </c>
    </row>
    <row r="769" spans="1:5" x14ac:dyDescent="0.25">
      <c r="A769" s="12" t="s">
        <v>768</v>
      </c>
      <c r="B769" s="13">
        <v>46133</v>
      </c>
      <c r="C769" s="12" t="s">
        <v>1068</v>
      </c>
      <c r="D769" s="12">
        <v>440</v>
      </c>
      <c r="E769" s="12" t="s">
        <v>1167</v>
      </c>
    </row>
    <row r="770" spans="1:5" x14ac:dyDescent="0.25">
      <c r="A770" s="12" t="s">
        <v>769</v>
      </c>
      <c r="B770" s="13">
        <v>46133</v>
      </c>
      <c r="C770" s="12" t="s">
        <v>1096</v>
      </c>
      <c r="D770" s="12">
        <v>365</v>
      </c>
      <c r="E770" s="12" t="s">
        <v>1140</v>
      </c>
    </row>
    <row r="771" spans="1:5" x14ac:dyDescent="0.25">
      <c r="A771" s="12" t="s">
        <v>770</v>
      </c>
      <c r="B771" s="13">
        <v>46133</v>
      </c>
      <c r="C771" s="12" t="s">
        <v>1063</v>
      </c>
      <c r="D771" s="12">
        <v>873</v>
      </c>
      <c r="E771" s="12" t="s">
        <v>1195</v>
      </c>
    </row>
    <row r="772" spans="1:5" x14ac:dyDescent="0.25">
      <c r="A772" s="12" t="s">
        <v>771</v>
      </c>
      <c r="B772" s="13">
        <v>46133</v>
      </c>
      <c r="C772" s="12" t="s">
        <v>1092</v>
      </c>
      <c r="D772" s="12">
        <v>511</v>
      </c>
      <c r="E772" s="12" t="s">
        <v>1169</v>
      </c>
    </row>
    <row r="773" spans="1:5" x14ac:dyDescent="0.25">
      <c r="A773" s="12" t="s">
        <v>772</v>
      </c>
      <c r="B773" s="13">
        <v>46133</v>
      </c>
      <c r="C773" s="12" t="s">
        <v>1061</v>
      </c>
      <c r="D773" s="12">
        <v>316</v>
      </c>
      <c r="E773" s="12" t="s">
        <v>1189</v>
      </c>
    </row>
    <row r="774" spans="1:5" x14ac:dyDescent="0.25">
      <c r="A774" s="12" t="s">
        <v>773</v>
      </c>
      <c r="B774" s="13">
        <v>46133</v>
      </c>
      <c r="C774" s="12" t="s">
        <v>1082</v>
      </c>
      <c r="D774" s="12">
        <v>769</v>
      </c>
      <c r="E774" s="12" t="s">
        <v>1135</v>
      </c>
    </row>
    <row r="775" spans="1:5" x14ac:dyDescent="0.25">
      <c r="A775" s="12" t="s">
        <v>774</v>
      </c>
      <c r="B775" s="13">
        <v>46134</v>
      </c>
      <c r="C775" s="12" t="s">
        <v>1034</v>
      </c>
      <c r="D775" s="12">
        <v>892</v>
      </c>
      <c r="E775" s="12" t="s">
        <v>1215</v>
      </c>
    </row>
    <row r="776" spans="1:5" x14ac:dyDescent="0.25">
      <c r="A776" s="12" t="s">
        <v>775</v>
      </c>
      <c r="B776" s="13">
        <v>46135</v>
      </c>
      <c r="C776" s="12" t="s">
        <v>1086</v>
      </c>
      <c r="D776" s="12">
        <v>302</v>
      </c>
      <c r="E776" s="12" t="s">
        <v>1156</v>
      </c>
    </row>
    <row r="777" spans="1:5" x14ac:dyDescent="0.25">
      <c r="A777" s="12" t="s">
        <v>776</v>
      </c>
      <c r="B777" s="13">
        <v>46135</v>
      </c>
      <c r="C777" s="12" t="s">
        <v>1082</v>
      </c>
      <c r="D777" s="12">
        <v>839</v>
      </c>
      <c r="E777" s="12" t="s">
        <v>1158</v>
      </c>
    </row>
    <row r="778" spans="1:5" x14ac:dyDescent="0.25">
      <c r="A778" s="12" t="s">
        <v>777</v>
      </c>
      <c r="B778" s="13">
        <v>46136</v>
      </c>
      <c r="C778" s="12" t="s">
        <v>1093</v>
      </c>
      <c r="D778" s="12">
        <v>497</v>
      </c>
      <c r="E778" s="12" t="s">
        <v>1227</v>
      </c>
    </row>
    <row r="779" spans="1:5" x14ac:dyDescent="0.25">
      <c r="A779" s="12" t="s">
        <v>778</v>
      </c>
      <c r="B779" s="13">
        <v>46136</v>
      </c>
      <c r="C779" s="12" t="s">
        <v>1070</v>
      </c>
      <c r="D779" s="12">
        <v>627</v>
      </c>
      <c r="E779" s="12" t="s">
        <v>1180</v>
      </c>
    </row>
    <row r="780" spans="1:5" x14ac:dyDescent="0.25">
      <c r="A780" s="12" t="s">
        <v>779</v>
      </c>
      <c r="B780" s="13">
        <v>46137</v>
      </c>
      <c r="C780" s="12" t="s">
        <v>1101</v>
      </c>
      <c r="D780" s="12">
        <v>951</v>
      </c>
      <c r="E780" s="12" t="s">
        <v>1160</v>
      </c>
    </row>
    <row r="781" spans="1:5" x14ac:dyDescent="0.25">
      <c r="A781" s="12" t="s">
        <v>780</v>
      </c>
      <c r="B781" s="13">
        <v>46137</v>
      </c>
      <c r="C781" s="12" t="s">
        <v>1052</v>
      </c>
      <c r="D781" s="12">
        <v>994</v>
      </c>
      <c r="E781" s="12" t="s">
        <v>1191</v>
      </c>
    </row>
    <row r="782" spans="1:5" x14ac:dyDescent="0.25">
      <c r="A782" s="12" t="s">
        <v>781</v>
      </c>
      <c r="B782" s="13">
        <v>46138</v>
      </c>
      <c r="C782" s="12" t="s">
        <v>1073</v>
      </c>
      <c r="D782" s="12">
        <v>161</v>
      </c>
      <c r="E782" s="12" t="s">
        <v>1173</v>
      </c>
    </row>
    <row r="783" spans="1:5" x14ac:dyDescent="0.25">
      <c r="A783" s="12" t="s">
        <v>782</v>
      </c>
      <c r="B783" s="13">
        <v>46138</v>
      </c>
      <c r="C783" s="12" t="s">
        <v>1061</v>
      </c>
      <c r="D783" s="12">
        <v>455</v>
      </c>
      <c r="E783" s="12" t="s">
        <v>1219</v>
      </c>
    </row>
    <row r="784" spans="1:5" x14ac:dyDescent="0.25">
      <c r="A784" s="12" t="s">
        <v>783</v>
      </c>
      <c r="B784" s="13">
        <v>46139</v>
      </c>
      <c r="C784" s="12" t="s">
        <v>1045</v>
      </c>
      <c r="D784" s="12">
        <v>409</v>
      </c>
      <c r="E784" s="12" t="s">
        <v>1218</v>
      </c>
    </row>
    <row r="785" spans="1:5" x14ac:dyDescent="0.25">
      <c r="A785" s="12" t="s">
        <v>784</v>
      </c>
      <c r="B785" s="13">
        <v>46139</v>
      </c>
      <c r="C785" s="12" t="s">
        <v>1086</v>
      </c>
      <c r="D785" s="12">
        <v>510</v>
      </c>
      <c r="E785" s="12" t="s">
        <v>1154</v>
      </c>
    </row>
    <row r="786" spans="1:5" x14ac:dyDescent="0.25">
      <c r="A786" s="12" t="s">
        <v>785</v>
      </c>
      <c r="B786" s="13">
        <v>46139</v>
      </c>
      <c r="C786" s="12" t="s">
        <v>1103</v>
      </c>
      <c r="D786" s="12">
        <v>924</v>
      </c>
      <c r="E786" s="12" t="s">
        <v>1206</v>
      </c>
    </row>
    <row r="787" spans="1:5" x14ac:dyDescent="0.25">
      <c r="A787" s="12" t="s">
        <v>786</v>
      </c>
      <c r="B787" s="13">
        <v>46139</v>
      </c>
      <c r="C787" s="12" t="s">
        <v>1069</v>
      </c>
      <c r="D787" s="12">
        <v>829</v>
      </c>
      <c r="E787" s="12" t="s">
        <v>1162</v>
      </c>
    </row>
    <row r="788" spans="1:5" x14ac:dyDescent="0.25">
      <c r="A788" s="12" t="s">
        <v>787</v>
      </c>
      <c r="B788" s="13">
        <v>46140</v>
      </c>
      <c r="C788" s="12" t="s">
        <v>1046</v>
      </c>
      <c r="D788" s="12">
        <v>140</v>
      </c>
      <c r="E788" s="12" t="s">
        <v>1182</v>
      </c>
    </row>
    <row r="789" spans="1:5" x14ac:dyDescent="0.25">
      <c r="A789" s="12" t="s">
        <v>788</v>
      </c>
      <c r="B789" s="13">
        <v>46141</v>
      </c>
      <c r="C789" s="12" t="s">
        <v>1066</v>
      </c>
      <c r="D789" s="12">
        <v>863</v>
      </c>
      <c r="E789" s="12" t="s">
        <v>1180</v>
      </c>
    </row>
    <row r="790" spans="1:5" x14ac:dyDescent="0.25">
      <c r="A790" s="12" t="s">
        <v>789</v>
      </c>
      <c r="B790" s="13">
        <v>46141</v>
      </c>
      <c r="C790" s="12" t="s">
        <v>1082</v>
      </c>
      <c r="D790" s="12">
        <v>675</v>
      </c>
      <c r="E790" s="12" t="s">
        <v>1157</v>
      </c>
    </row>
    <row r="791" spans="1:5" x14ac:dyDescent="0.25">
      <c r="A791" s="12" t="s">
        <v>790</v>
      </c>
      <c r="B791" s="13">
        <v>46141</v>
      </c>
      <c r="C791" s="12" t="s">
        <v>1078</v>
      </c>
      <c r="D791" s="12">
        <v>923</v>
      </c>
      <c r="E791" s="12" t="s">
        <v>1142</v>
      </c>
    </row>
    <row r="792" spans="1:5" x14ac:dyDescent="0.25">
      <c r="A792" s="12" t="s">
        <v>791</v>
      </c>
      <c r="B792" s="13">
        <v>46141</v>
      </c>
      <c r="C792" s="12" t="s">
        <v>1095</v>
      </c>
      <c r="D792" s="12">
        <v>779</v>
      </c>
      <c r="E792" s="12" t="s">
        <v>1162</v>
      </c>
    </row>
    <row r="793" spans="1:5" x14ac:dyDescent="0.25">
      <c r="A793" s="12" t="s">
        <v>792</v>
      </c>
      <c r="B793" s="13">
        <v>46141</v>
      </c>
      <c r="C793" s="12" t="s">
        <v>1031</v>
      </c>
      <c r="D793" s="12">
        <v>208</v>
      </c>
      <c r="E793" s="12" t="s">
        <v>1174</v>
      </c>
    </row>
    <row r="794" spans="1:5" x14ac:dyDescent="0.25">
      <c r="A794" s="12" t="s">
        <v>793</v>
      </c>
      <c r="B794" s="13">
        <v>46141</v>
      </c>
      <c r="C794" s="12" t="s">
        <v>1042</v>
      </c>
      <c r="D794" s="12">
        <v>981</v>
      </c>
      <c r="E794" s="12" t="s">
        <v>1133</v>
      </c>
    </row>
    <row r="795" spans="1:5" x14ac:dyDescent="0.25">
      <c r="A795" s="12" t="s">
        <v>794</v>
      </c>
      <c r="B795" s="13">
        <v>46142</v>
      </c>
      <c r="C795" s="12" t="s">
        <v>1045</v>
      </c>
      <c r="D795" s="12">
        <v>880</v>
      </c>
      <c r="E795" s="12" t="s">
        <v>1159</v>
      </c>
    </row>
    <row r="796" spans="1:5" x14ac:dyDescent="0.25">
      <c r="A796" s="12" t="s">
        <v>795</v>
      </c>
      <c r="B796" s="13">
        <v>46143</v>
      </c>
      <c r="C796" s="12" t="s">
        <v>1086</v>
      </c>
      <c r="D796" s="12">
        <v>791</v>
      </c>
      <c r="E796" s="12" t="s">
        <v>1149</v>
      </c>
    </row>
    <row r="797" spans="1:5" x14ac:dyDescent="0.25">
      <c r="A797" s="12" t="s">
        <v>796</v>
      </c>
      <c r="B797" s="13">
        <v>46143</v>
      </c>
      <c r="C797" s="12" t="s">
        <v>1075</v>
      </c>
      <c r="D797" s="12">
        <v>219</v>
      </c>
      <c r="E797" s="12" t="s">
        <v>1193</v>
      </c>
    </row>
    <row r="798" spans="1:5" x14ac:dyDescent="0.25">
      <c r="A798" s="12" t="s">
        <v>797</v>
      </c>
      <c r="B798" s="13">
        <v>46144</v>
      </c>
      <c r="C798" s="12" t="s">
        <v>1084</v>
      </c>
      <c r="D798" s="12">
        <v>412</v>
      </c>
      <c r="E798" s="12" t="s">
        <v>1231</v>
      </c>
    </row>
    <row r="799" spans="1:5" x14ac:dyDescent="0.25">
      <c r="A799" s="12" t="s">
        <v>798</v>
      </c>
      <c r="B799" s="13">
        <v>46144</v>
      </c>
      <c r="C799" s="12" t="s">
        <v>1042</v>
      </c>
      <c r="D799" s="12">
        <v>841</v>
      </c>
      <c r="E799" s="12" t="s">
        <v>1162</v>
      </c>
    </row>
    <row r="800" spans="1:5" x14ac:dyDescent="0.25">
      <c r="A800" s="12" t="s">
        <v>799</v>
      </c>
      <c r="B800" s="13">
        <v>46144</v>
      </c>
      <c r="C800" s="12" t="s">
        <v>1084</v>
      </c>
      <c r="D800" s="12">
        <v>832</v>
      </c>
      <c r="E800" s="12" t="s">
        <v>1140</v>
      </c>
    </row>
    <row r="801" spans="1:5" x14ac:dyDescent="0.25">
      <c r="A801" s="12" t="s">
        <v>800</v>
      </c>
      <c r="B801" s="13">
        <v>46144</v>
      </c>
      <c r="C801" s="12" t="s">
        <v>1046</v>
      </c>
      <c r="D801" s="12">
        <v>591</v>
      </c>
      <c r="E801" s="12" t="s">
        <v>1167</v>
      </c>
    </row>
    <row r="802" spans="1:5" x14ac:dyDescent="0.25">
      <c r="A802" s="12" t="s">
        <v>801</v>
      </c>
      <c r="B802" s="13">
        <v>46145</v>
      </c>
      <c r="C802" s="12" t="s">
        <v>1045</v>
      </c>
      <c r="D802" s="12">
        <v>337</v>
      </c>
      <c r="E802" s="12" t="s">
        <v>1158</v>
      </c>
    </row>
    <row r="803" spans="1:5" x14ac:dyDescent="0.25">
      <c r="A803" s="12" t="s">
        <v>802</v>
      </c>
      <c r="B803" s="13">
        <v>46145</v>
      </c>
      <c r="C803" s="12" t="s">
        <v>1055</v>
      </c>
      <c r="D803" s="12">
        <v>182</v>
      </c>
      <c r="E803" s="12" t="s">
        <v>1174</v>
      </c>
    </row>
    <row r="804" spans="1:5" x14ac:dyDescent="0.25">
      <c r="A804" s="12" t="s">
        <v>803</v>
      </c>
      <c r="B804" s="13">
        <v>46146</v>
      </c>
      <c r="C804" s="12" t="s">
        <v>1092</v>
      </c>
      <c r="D804" s="12">
        <v>151</v>
      </c>
      <c r="E804" s="12" t="s">
        <v>1213</v>
      </c>
    </row>
    <row r="805" spans="1:5" x14ac:dyDescent="0.25">
      <c r="A805" s="12" t="s">
        <v>804</v>
      </c>
      <c r="B805" s="13">
        <v>46146</v>
      </c>
      <c r="C805" s="12" t="s">
        <v>1080</v>
      </c>
      <c r="D805" s="12">
        <v>613</v>
      </c>
      <c r="E805" s="12" t="s">
        <v>1217</v>
      </c>
    </row>
    <row r="806" spans="1:5" x14ac:dyDescent="0.25">
      <c r="A806" s="12" t="s">
        <v>805</v>
      </c>
      <c r="B806" s="13">
        <v>46147</v>
      </c>
      <c r="C806" s="12" t="s">
        <v>1090</v>
      </c>
      <c r="D806" s="12">
        <v>363</v>
      </c>
      <c r="E806" s="12" t="s">
        <v>1217</v>
      </c>
    </row>
    <row r="807" spans="1:5" x14ac:dyDescent="0.25">
      <c r="A807" s="12" t="s">
        <v>806</v>
      </c>
      <c r="B807" s="13">
        <v>46147</v>
      </c>
      <c r="C807" s="12" t="s">
        <v>1088</v>
      </c>
      <c r="D807" s="12">
        <v>901</v>
      </c>
      <c r="E807" s="12" t="s">
        <v>1150</v>
      </c>
    </row>
    <row r="808" spans="1:5" x14ac:dyDescent="0.25">
      <c r="A808" s="12" t="s">
        <v>807</v>
      </c>
      <c r="B808" s="13">
        <v>46148</v>
      </c>
      <c r="C808" s="12" t="s">
        <v>1053</v>
      </c>
      <c r="D808" s="12">
        <v>944</v>
      </c>
      <c r="E808" s="12" t="s">
        <v>1134</v>
      </c>
    </row>
    <row r="809" spans="1:5" x14ac:dyDescent="0.25">
      <c r="A809" s="12" t="s">
        <v>808</v>
      </c>
      <c r="B809" s="13">
        <v>46148</v>
      </c>
      <c r="C809" s="12" t="s">
        <v>1068</v>
      </c>
      <c r="D809" s="12">
        <v>869</v>
      </c>
      <c r="E809" s="12" t="s">
        <v>1150</v>
      </c>
    </row>
    <row r="810" spans="1:5" x14ac:dyDescent="0.25">
      <c r="A810" s="12" t="s">
        <v>809</v>
      </c>
      <c r="B810" s="13">
        <v>46148</v>
      </c>
      <c r="C810" s="12" t="s">
        <v>1041</v>
      </c>
      <c r="D810" s="12">
        <v>324</v>
      </c>
      <c r="E810" s="12" t="s">
        <v>1205</v>
      </c>
    </row>
    <row r="811" spans="1:5" x14ac:dyDescent="0.25">
      <c r="A811" s="12" t="s">
        <v>810</v>
      </c>
      <c r="B811" s="13">
        <v>46148</v>
      </c>
      <c r="C811" s="12" t="s">
        <v>1086</v>
      </c>
      <c r="D811" s="12">
        <v>447</v>
      </c>
      <c r="E811" s="12" t="s">
        <v>1166</v>
      </c>
    </row>
    <row r="812" spans="1:5" x14ac:dyDescent="0.25">
      <c r="A812" s="12" t="s">
        <v>811</v>
      </c>
      <c r="B812" s="13">
        <v>46148</v>
      </c>
      <c r="C812" s="12" t="s">
        <v>1069</v>
      </c>
      <c r="D812" s="12">
        <v>603</v>
      </c>
      <c r="E812" s="12" t="s">
        <v>1213</v>
      </c>
    </row>
    <row r="813" spans="1:5" x14ac:dyDescent="0.25">
      <c r="A813" s="12" t="s">
        <v>812</v>
      </c>
      <c r="B813" s="13">
        <v>46148</v>
      </c>
      <c r="C813" s="12" t="s">
        <v>1090</v>
      </c>
      <c r="D813" s="12">
        <v>519</v>
      </c>
      <c r="E813" s="12" t="s">
        <v>1176</v>
      </c>
    </row>
    <row r="814" spans="1:5" x14ac:dyDescent="0.25">
      <c r="A814" s="12" t="s">
        <v>813</v>
      </c>
      <c r="B814" s="13">
        <v>46149</v>
      </c>
      <c r="C814" s="12" t="s">
        <v>1037</v>
      </c>
      <c r="D814" s="12">
        <v>981</v>
      </c>
      <c r="E814" s="12" t="s">
        <v>1178</v>
      </c>
    </row>
    <row r="815" spans="1:5" x14ac:dyDescent="0.25">
      <c r="A815" s="12" t="s">
        <v>814</v>
      </c>
      <c r="B815" s="13">
        <v>46149</v>
      </c>
      <c r="C815" s="12" t="s">
        <v>1034</v>
      </c>
      <c r="D815" s="12">
        <v>856</v>
      </c>
      <c r="E815" s="12" t="s">
        <v>1133</v>
      </c>
    </row>
    <row r="816" spans="1:5" x14ac:dyDescent="0.25">
      <c r="A816" s="12" t="s">
        <v>815</v>
      </c>
      <c r="B816" s="13">
        <v>46149</v>
      </c>
      <c r="C816" s="12" t="s">
        <v>1096</v>
      </c>
      <c r="D816" s="12">
        <v>577</v>
      </c>
      <c r="E816" s="12" t="s">
        <v>1148</v>
      </c>
    </row>
    <row r="817" spans="1:5" x14ac:dyDescent="0.25">
      <c r="A817" s="12" t="s">
        <v>816</v>
      </c>
      <c r="B817" s="13">
        <v>46149</v>
      </c>
      <c r="C817" s="12" t="s">
        <v>1034</v>
      </c>
      <c r="D817" s="12">
        <v>216</v>
      </c>
      <c r="E817" s="12" t="s">
        <v>1143</v>
      </c>
    </row>
    <row r="818" spans="1:5" x14ac:dyDescent="0.25">
      <c r="A818" s="12" t="s">
        <v>817</v>
      </c>
      <c r="B818" s="13">
        <v>46150</v>
      </c>
      <c r="C818" s="12" t="s">
        <v>1080</v>
      </c>
      <c r="D818" s="12">
        <v>907</v>
      </c>
      <c r="E818" s="12" t="s">
        <v>1206</v>
      </c>
    </row>
    <row r="819" spans="1:5" x14ac:dyDescent="0.25">
      <c r="A819" s="12" t="s">
        <v>818</v>
      </c>
      <c r="B819" s="13">
        <v>46150</v>
      </c>
      <c r="C819" s="12" t="s">
        <v>1082</v>
      </c>
      <c r="D819" s="12">
        <v>320</v>
      </c>
      <c r="E819" s="12" t="s">
        <v>1190</v>
      </c>
    </row>
    <row r="820" spans="1:5" x14ac:dyDescent="0.25">
      <c r="A820" s="12" t="s">
        <v>819</v>
      </c>
      <c r="B820" s="13">
        <v>46150</v>
      </c>
      <c r="C820" s="12" t="s">
        <v>1103</v>
      </c>
      <c r="D820" s="12">
        <v>933</v>
      </c>
      <c r="E820" s="12" t="s">
        <v>1181</v>
      </c>
    </row>
    <row r="821" spans="1:5" x14ac:dyDescent="0.25">
      <c r="A821" s="12" t="s">
        <v>820</v>
      </c>
      <c r="B821" s="13">
        <v>46150</v>
      </c>
      <c r="C821" s="12" t="s">
        <v>1103</v>
      </c>
      <c r="D821" s="12">
        <v>531</v>
      </c>
      <c r="E821" s="12" t="s">
        <v>1186</v>
      </c>
    </row>
    <row r="822" spans="1:5" x14ac:dyDescent="0.25">
      <c r="A822" s="12" t="s">
        <v>821</v>
      </c>
      <c r="B822" s="13">
        <v>46151</v>
      </c>
      <c r="C822" s="12" t="s">
        <v>1101</v>
      </c>
      <c r="D822" s="12">
        <v>552</v>
      </c>
      <c r="E822" s="12" t="s">
        <v>1146</v>
      </c>
    </row>
    <row r="823" spans="1:5" x14ac:dyDescent="0.25">
      <c r="A823" s="12" t="s">
        <v>822</v>
      </c>
      <c r="B823" s="13">
        <v>46151</v>
      </c>
      <c r="C823" s="12" t="s">
        <v>1042</v>
      </c>
      <c r="D823" s="12">
        <v>688</v>
      </c>
      <c r="E823" s="12" t="s">
        <v>1150</v>
      </c>
    </row>
    <row r="824" spans="1:5" x14ac:dyDescent="0.25">
      <c r="A824" s="12" t="s">
        <v>823</v>
      </c>
      <c r="B824" s="13">
        <v>46152</v>
      </c>
      <c r="C824" s="12" t="s">
        <v>1082</v>
      </c>
      <c r="D824" s="12">
        <v>471</v>
      </c>
      <c r="E824" s="12" t="s">
        <v>1143</v>
      </c>
    </row>
    <row r="825" spans="1:5" x14ac:dyDescent="0.25">
      <c r="A825" s="12" t="s">
        <v>824</v>
      </c>
      <c r="B825" s="13">
        <v>46152</v>
      </c>
      <c r="C825" s="12" t="s">
        <v>1084</v>
      </c>
      <c r="D825" s="12">
        <v>767</v>
      </c>
      <c r="E825" s="12" t="s">
        <v>1177</v>
      </c>
    </row>
    <row r="826" spans="1:5" x14ac:dyDescent="0.25">
      <c r="A826" s="12" t="s">
        <v>825</v>
      </c>
      <c r="B826" s="13">
        <v>46152</v>
      </c>
      <c r="C826" s="12" t="s">
        <v>1075</v>
      </c>
      <c r="D826" s="12">
        <v>381</v>
      </c>
      <c r="E826" s="12" t="s">
        <v>1139</v>
      </c>
    </row>
    <row r="827" spans="1:5" x14ac:dyDescent="0.25">
      <c r="A827" s="12" t="s">
        <v>826</v>
      </c>
      <c r="B827" s="13">
        <v>46153</v>
      </c>
      <c r="C827" s="12" t="s">
        <v>1046</v>
      </c>
      <c r="D827" s="12">
        <v>185</v>
      </c>
      <c r="E827" s="12" t="s">
        <v>1168</v>
      </c>
    </row>
    <row r="828" spans="1:5" x14ac:dyDescent="0.25">
      <c r="A828" s="12" t="s">
        <v>827</v>
      </c>
      <c r="B828" s="13">
        <v>46153</v>
      </c>
      <c r="C828" s="12" t="s">
        <v>1093</v>
      </c>
      <c r="D828" s="12">
        <v>165</v>
      </c>
      <c r="E828" s="12" t="s">
        <v>1228</v>
      </c>
    </row>
    <row r="829" spans="1:5" x14ac:dyDescent="0.25">
      <c r="A829" s="12" t="s">
        <v>828</v>
      </c>
      <c r="B829" s="13">
        <v>46154</v>
      </c>
      <c r="C829" s="12" t="s">
        <v>1090</v>
      </c>
      <c r="D829" s="12">
        <v>556</v>
      </c>
      <c r="E829" s="12" t="s">
        <v>1133</v>
      </c>
    </row>
    <row r="830" spans="1:5" x14ac:dyDescent="0.25">
      <c r="A830" s="12" t="s">
        <v>829</v>
      </c>
      <c r="B830" s="13">
        <v>46154</v>
      </c>
      <c r="C830" s="12" t="s">
        <v>1098</v>
      </c>
      <c r="D830" s="12">
        <v>728</v>
      </c>
      <c r="E830" s="12" t="s">
        <v>1169</v>
      </c>
    </row>
    <row r="831" spans="1:5" x14ac:dyDescent="0.25">
      <c r="A831" s="12" t="s">
        <v>830</v>
      </c>
      <c r="B831" s="13">
        <v>46154</v>
      </c>
      <c r="C831" s="12" t="s">
        <v>1042</v>
      </c>
      <c r="D831" s="12">
        <v>771</v>
      </c>
      <c r="E831" s="12" t="s">
        <v>1227</v>
      </c>
    </row>
    <row r="832" spans="1:5" x14ac:dyDescent="0.25">
      <c r="A832" s="12" t="s">
        <v>831</v>
      </c>
      <c r="B832" s="13">
        <v>46155</v>
      </c>
      <c r="C832" s="12" t="s">
        <v>1096</v>
      </c>
      <c r="D832" s="12">
        <v>679</v>
      </c>
      <c r="E832" s="12" t="s">
        <v>1179</v>
      </c>
    </row>
    <row r="833" spans="1:5" x14ac:dyDescent="0.25">
      <c r="A833" s="12" t="s">
        <v>832</v>
      </c>
      <c r="B833" s="13">
        <v>46156</v>
      </c>
      <c r="C833" s="12" t="s">
        <v>1061</v>
      </c>
      <c r="D833" s="12">
        <v>275</v>
      </c>
      <c r="E833" s="12" t="s">
        <v>1160</v>
      </c>
    </row>
    <row r="834" spans="1:5" x14ac:dyDescent="0.25">
      <c r="A834" s="12" t="s">
        <v>833</v>
      </c>
      <c r="B834" s="13">
        <v>46156</v>
      </c>
      <c r="C834" s="12" t="s">
        <v>1053</v>
      </c>
      <c r="D834" s="12">
        <v>658</v>
      </c>
      <c r="E834" s="12" t="s">
        <v>1135</v>
      </c>
    </row>
    <row r="835" spans="1:5" x14ac:dyDescent="0.25">
      <c r="A835" s="12" t="s">
        <v>834</v>
      </c>
      <c r="B835" s="13">
        <v>46156</v>
      </c>
      <c r="C835" s="12" t="s">
        <v>1041</v>
      </c>
      <c r="D835" s="12">
        <v>661</v>
      </c>
      <c r="E835" s="12" t="s">
        <v>1142</v>
      </c>
    </row>
    <row r="836" spans="1:5" x14ac:dyDescent="0.25">
      <c r="A836" s="12" t="s">
        <v>835</v>
      </c>
      <c r="B836" s="13">
        <v>46157</v>
      </c>
      <c r="C836" s="12" t="s">
        <v>1068</v>
      </c>
      <c r="D836" s="12">
        <v>902</v>
      </c>
      <c r="E836" s="12" t="s">
        <v>1133</v>
      </c>
    </row>
    <row r="837" spans="1:5" x14ac:dyDescent="0.25">
      <c r="A837" s="12" t="s">
        <v>836</v>
      </c>
      <c r="B837" s="13">
        <v>46157</v>
      </c>
      <c r="C837" s="12" t="s">
        <v>1053</v>
      </c>
      <c r="D837" s="12">
        <v>657</v>
      </c>
      <c r="E837" s="12" t="s">
        <v>1146</v>
      </c>
    </row>
    <row r="838" spans="1:5" x14ac:dyDescent="0.25">
      <c r="A838" s="12" t="s">
        <v>837</v>
      </c>
      <c r="B838" s="13">
        <v>46157</v>
      </c>
      <c r="C838" s="12" t="s">
        <v>1088</v>
      </c>
      <c r="D838" s="12">
        <v>853</v>
      </c>
      <c r="E838" s="12" t="s">
        <v>1151</v>
      </c>
    </row>
    <row r="839" spans="1:5" x14ac:dyDescent="0.25">
      <c r="A839" s="12" t="s">
        <v>838</v>
      </c>
      <c r="B839" s="13">
        <v>46157</v>
      </c>
      <c r="C839" s="12" t="s">
        <v>1073</v>
      </c>
      <c r="D839" s="12">
        <v>608</v>
      </c>
      <c r="E839" s="12" t="s">
        <v>1216</v>
      </c>
    </row>
    <row r="840" spans="1:5" x14ac:dyDescent="0.25">
      <c r="A840" s="12" t="s">
        <v>839</v>
      </c>
      <c r="B840" s="13">
        <v>46157</v>
      </c>
      <c r="C840" s="12" t="s">
        <v>1090</v>
      </c>
      <c r="D840" s="12">
        <v>490</v>
      </c>
      <c r="E840" s="12" t="s">
        <v>1146</v>
      </c>
    </row>
    <row r="841" spans="1:5" x14ac:dyDescent="0.25">
      <c r="A841" s="12" t="s">
        <v>840</v>
      </c>
      <c r="B841" s="13">
        <v>46158</v>
      </c>
      <c r="C841" s="12" t="s">
        <v>1052</v>
      </c>
      <c r="D841" s="12">
        <v>746</v>
      </c>
      <c r="E841" s="12" t="s">
        <v>1163</v>
      </c>
    </row>
    <row r="842" spans="1:5" x14ac:dyDescent="0.25">
      <c r="A842" s="12" t="s">
        <v>841</v>
      </c>
      <c r="B842" s="13">
        <v>46158</v>
      </c>
      <c r="C842" s="12" t="s">
        <v>1073</v>
      </c>
      <c r="D842" s="12">
        <v>212</v>
      </c>
      <c r="E842" s="12" t="s">
        <v>1139</v>
      </c>
    </row>
    <row r="843" spans="1:5" x14ac:dyDescent="0.25">
      <c r="A843" s="12" t="s">
        <v>842</v>
      </c>
      <c r="B843" s="13">
        <v>46159</v>
      </c>
      <c r="C843" s="12" t="s">
        <v>1041</v>
      </c>
      <c r="D843" s="12">
        <v>490</v>
      </c>
      <c r="E843" s="12" t="s">
        <v>1182</v>
      </c>
    </row>
    <row r="844" spans="1:5" x14ac:dyDescent="0.25">
      <c r="A844" s="12" t="s">
        <v>843</v>
      </c>
      <c r="B844" s="13">
        <v>46159</v>
      </c>
      <c r="C844" s="12" t="s">
        <v>1063</v>
      </c>
      <c r="D844" s="12">
        <v>317</v>
      </c>
      <c r="E844" s="12" t="s">
        <v>1173</v>
      </c>
    </row>
    <row r="845" spans="1:5" x14ac:dyDescent="0.25">
      <c r="A845" s="12" t="s">
        <v>844</v>
      </c>
      <c r="B845" s="13">
        <v>46159</v>
      </c>
      <c r="C845" s="12" t="s">
        <v>1049</v>
      </c>
      <c r="D845" s="12">
        <v>681</v>
      </c>
      <c r="E845" s="12" t="s">
        <v>1210</v>
      </c>
    </row>
    <row r="846" spans="1:5" x14ac:dyDescent="0.25">
      <c r="A846" s="12" t="s">
        <v>845</v>
      </c>
      <c r="B846" s="13">
        <v>46160</v>
      </c>
      <c r="C846" s="12" t="s">
        <v>1070</v>
      </c>
      <c r="D846" s="12">
        <v>295</v>
      </c>
      <c r="E846" s="12" t="s">
        <v>1176</v>
      </c>
    </row>
    <row r="847" spans="1:5" x14ac:dyDescent="0.25">
      <c r="A847" s="12" t="s">
        <v>846</v>
      </c>
      <c r="B847" s="13">
        <v>46160</v>
      </c>
      <c r="C847" s="12" t="s">
        <v>1046</v>
      </c>
      <c r="D847" s="12">
        <v>356</v>
      </c>
      <c r="E847" s="12" t="s">
        <v>1168</v>
      </c>
    </row>
    <row r="848" spans="1:5" x14ac:dyDescent="0.25">
      <c r="A848" s="12" t="s">
        <v>847</v>
      </c>
      <c r="B848" s="13">
        <v>46161</v>
      </c>
      <c r="C848" s="12" t="s">
        <v>1037</v>
      </c>
      <c r="D848" s="12">
        <v>447</v>
      </c>
      <c r="E848" s="12" t="s">
        <v>1179</v>
      </c>
    </row>
    <row r="849" spans="1:5" x14ac:dyDescent="0.25">
      <c r="A849" s="12" t="s">
        <v>848</v>
      </c>
      <c r="B849" s="13">
        <v>46161</v>
      </c>
      <c r="C849" s="12" t="s">
        <v>1080</v>
      </c>
      <c r="D849" s="12">
        <v>214</v>
      </c>
      <c r="E849" s="12" t="s">
        <v>1159</v>
      </c>
    </row>
    <row r="850" spans="1:5" x14ac:dyDescent="0.25">
      <c r="A850" s="12" t="s">
        <v>849</v>
      </c>
      <c r="B850" s="13">
        <v>46161</v>
      </c>
      <c r="C850" s="12" t="s">
        <v>1066</v>
      </c>
      <c r="D850" s="12">
        <v>290</v>
      </c>
      <c r="E850" s="12" t="s">
        <v>1223</v>
      </c>
    </row>
    <row r="851" spans="1:5" x14ac:dyDescent="0.25">
      <c r="A851" s="12" t="s">
        <v>850</v>
      </c>
      <c r="B851" s="13">
        <v>46161</v>
      </c>
      <c r="C851" s="12" t="s">
        <v>1082</v>
      </c>
      <c r="D851" s="12">
        <v>591</v>
      </c>
      <c r="E851" s="12" t="s">
        <v>1230</v>
      </c>
    </row>
    <row r="852" spans="1:5" x14ac:dyDescent="0.25">
      <c r="A852" s="12" t="s">
        <v>851</v>
      </c>
      <c r="B852" s="13">
        <v>46161</v>
      </c>
      <c r="C852" s="12" t="s">
        <v>1041</v>
      </c>
      <c r="D852" s="12">
        <v>205</v>
      </c>
      <c r="E852" s="12" t="s">
        <v>1134</v>
      </c>
    </row>
    <row r="853" spans="1:5" x14ac:dyDescent="0.25">
      <c r="A853" s="12" t="s">
        <v>852</v>
      </c>
      <c r="B853" s="13">
        <v>46161</v>
      </c>
      <c r="C853" s="12" t="s">
        <v>1058</v>
      </c>
      <c r="D853" s="12">
        <v>455</v>
      </c>
      <c r="E853" s="12" t="s">
        <v>1144</v>
      </c>
    </row>
    <row r="854" spans="1:5" x14ac:dyDescent="0.25">
      <c r="A854" s="12" t="s">
        <v>853</v>
      </c>
      <c r="B854" s="13">
        <v>46162</v>
      </c>
      <c r="C854" s="12" t="s">
        <v>1063</v>
      </c>
      <c r="D854" s="12">
        <v>358</v>
      </c>
      <c r="E854" s="12" t="s">
        <v>1145</v>
      </c>
    </row>
    <row r="855" spans="1:5" x14ac:dyDescent="0.25">
      <c r="A855" s="12" t="s">
        <v>854</v>
      </c>
      <c r="B855" s="13">
        <v>46162</v>
      </c>
      <c r="C855" s="12" t="s">
        <v>1053</v>
      </c>
      <c r="D855" s="12">
        <v>226</v>
      </c>
      <c r="E855" s="12" t="s">
        <v>1137</v>
      </c>
    </row>
    <row r="856" spans="1:5" x14ac:dyDescent="0.25">
      <c r="A856" s="12" t="s">
        <v>855</v>
      </c>
      <c r="B856" s="13">
        <v>46162</v>
      </c>
      <c r="C856" s="12" t="s">
        <v>1075</v>
      </c>
      <c r="D856" s="12">
        <v>682</v>
      </c>
      <c r="E856" s="12" t="s">
        <v>1197</v>
      </c>
    </row>
    <row r="857" spans="1:5" x14ac:dyDescent="0.25">
      <c r="A857" s="12" t="s">
        <v>856</v>
      </c>
      <c r="B857" s="13">
        <v>46163</v>
      </c>
      <c r="C857" s="12" t="s">
        <v>1103</v>
      </c>
      <c r="D857" s="12">
        <v>329</v>
      </c>
      <c r="E857" s="12" t="s">
        <v>1162</v>
      </c>
    </row>
    <row r="858" spans="1:5" x14ac:dyDescent="0.25">
      <c r="A858" s="12" t="s">
        <v>857</v>
      </c>
      <c r="B858" s="13">
        <v>46163</v>
      </c>
      <c r="C858" s="12" t="s">
        <v>1095</v>
      </c>
      <c r="D858" s="12">
        <v>584</v>
      </c>
      <c r="E858" s="12" t="s">
        <v>1210</v>
      </c>
    </row>
    <row r="859" spans="1:5" x14ac:dyDescent="0.25">
      <c r="A859" s="12" t="s">
        <v>858</v>
      </c>
      <c r="B859" s="13">
        <v>46163</v>
      </c>
      <c r="C859" s="12" t="s">
        <v>1073</v>
      </c>
      <c r="D859" s="12">
        <v>229</v>
      </c>
      <c r="E859" s="12" t="s">
        <v>1204</v>
      </c>
    </row>
    <row r="860" spans="1:5" x14ac:dyDescent="0.25">
      <c r="A860" s="12" t="s">
        <v>859</v>
      </c>
      <c r="B860" s="13">
        <v>46164</v>
      </c>
      <c r="C860" s="12" t="s">
        <v>1049</v>
      </c>
      <c r="D860" s="12">
        <v>623</v>
      </c>
      <c r="E860" s="12" t="s">
        <v>1218</v>
      </c>
    </row>
    <row r="861" spans="1:5" x14ac:dyDescent="0.25">
      <c r="A861" s="12" t="s">
        <v>860</v>
      </c>
      <c r="B861" s="13">
        <v>46164</v>
      </c>
      <c r="C861" s="12" t="s">
        <v>1039</v>
      </c>
      <c r="D861" s="12">
        <v>889</v>
      </c>
      <c r="E861" s="12" t="s">
        <v>1226</v>
      </c>
    </row>
    <row r="862" spans="1:5" x14ac:dyDescent="0.25">
      <c r="A862" s="12" t="s">
        <v>861</v>
      </c>
      <c r="B862" s="13">
        <v>46164</v>
      </c>
      <c r="C862" s="12" t="s">
        <v>1096</v>
      </c>
      <c r="D862" s="12">
        <v>235</v>
      </c>
      <c r="E862" s="12" t="s">
        <v>1206</v>
      </c>
    </row>
    <row r="863" spans="1:5" x14ac:dyDescent="0.25">
      <c r="A863" s="12" t="s">
        <v>862</v>
      </c>
      <c r="B863" s="13">
        <v>46165</v>
      </c>
      <c r="C863" s="12" t="s">
        <v>1034</v>
      </c>
      <c r="D863" s="12">
        <v>752</v>
      </c>
      <c r="E863" s="12" t="s">
        <v>1225</v>
      </c>
    </row>
    <row r="864" spans="1:5" x14ac:dyDescent="0.25">
      <c r="A864" s="12" t="s">
        <v>863</v>
      </c>
      <c r="B864" s="13">
        <v>46165</v>
      </c>
      <c r="C864" s="12" t="s">
        <v>1041</v>
      </c>
      <c r="D864" s="12">
        <v>429</v>
      </c>
      <c r="E864" s="12" t="s">
        <v>1172</v>
      </c>
    </row>
    <row r="865" spans="1:5" x14ac:dyDescent="0.25">
      <c r="A865" s="12" t="s">
        <v>864</v>
      </c>
      <c r="B865" s="13">
        <v>46165</v>
      </c>
      <c r="C865" s="12" t="s">
        <v>1098</v>
      </c>
      <c r="D865" s="12">
        <v>761</v>
      </c>
      <c r="E865" s="12" t="s">
        <v>1198</v>
      </c>
    </row>
    <row r="866" spans="1:5" x14ac:dyDescent="0.25">
      <c r="A866" s="12" t="s">
        <v>865</v>
      </c>
      <c r="B866" s="13">
        <v>46166</v>
      </c>
      <c r="C866" s="12" t="s">
        <v>1084</v>
      </c>
      <c r="D866" s="12">
        <v>384</v>
      </c>
      <c r="E866" s="12" t="s">
        <v>1188</v>
      </c>
    </row>
    <row r="867" spans="1:5" x14ac:dyDescent="0.25">
      <c r="A867" s="12" t="s">
        <v>866</v>
      </c>
      <c r="B867" s="13">
        <v>46167</v>
      </c>
      <c r="C867" s="12" t="s">
        <v>1055</v>
      </c>
      <c r="D867" s="12">
        <v>484</v>
      </c>
      <c r="E867" s="12" t="s">
        <v>1174</v>
      </c>
    </row>
    <row r="868" spans="1:5" x14ac:dyDescent="0.25">
      <c r="A868" s="12" t="s">
        <v>867</v>
      </c>
      <c r="B868" s="13">
        <v>46167</v>
      </c>
      <c r="C868" s="12" t="s">
        <v>1047</v>
      </c>
      <c r="D868" s="12">
        <v>492</v>
      </c>
      <c r="E868" s="12" t="s">
        <v>1167</v>
      </c>
    </row>
    <row r="869" spans="1:5" x14ac:dyDescent="0.25">
      <c r="A869" s="12" t="s">
        <v>868</v>
      </c>
      <c r="B869" s="13">
        <v>46167</v>
      </c>
      <c r="C869" s="12" t="s">
        <v>1034</v>
      </c>
      <c r="D869" s="12">
        <v>447</v>
      </c>
      <c r="E869" s="12" t="s">
        <v>1177</v>
      </c>
    </row>
    <row r="870" spans="1:5" x14ac:dyDescent="0.25">
      <c r="A870" s="12" t="s">
        <v>869</v>
      </c>
      <c r="B870" s="13">
        <v>46167</v>
      </c>
      <c r="C870" s="12" t="s">
        <v>1053</v>
      </c>
      <c r="D870" s="12">
        <v>528</v>
      </c>
      <c r="E870" s="12" t="s">
        <v>1147</v>
      </c>
    </row>
    <row r="871" spans="1:5" x14ac:dyDescent="0.25">
      <c r="A871" s="12" t="s">
        <v>870</v>
      </c>
      <c r="B871" s="13">
        <v>46168</v>
      </c>
      <c r="C871" s="12" t="s">
        <v>1042</v>
      </c>
      <c r="D871" s="12">
        <v>618</v>
      </c>
      <c r="E871" s="12" t="s">
        <v>1201</v>
      </c>
    </row>
    <row r="872" spans="1:5" x14ac:dyDescent="0.25">
      <c r="A872" s="12" t="s">
        <v>871</v>
      </c>
      <c r="B872" s="13">
        <v>46168</v>
      </c>
      <c r="C872" s="12" t="s">
        <v>1068</v>
      </c>
      <c r="D872" s="12">
        <v>205</v>
      </c>
      <c r="E872" s="12" t="s">
        <v>1153</v>
      </c>
    </row>
    <row r="873" spans="1:5" x14ac:dyDescent="0.25">
      <c r="A873" s="12" t="s">
        <v>872</v>
      </c>
      <c r="B873" s="13">
        <v>46168</v>
      </c>
      <c r="C873" s="12" t="s">
        <v>1078</v>
      </c>
      <c r="D873" s="12">
        <v>532</v>
      </c>
      <c r="E873" s="12" t="s">
        <v>1163</v>
      </c>
    </row>
    <row r="874" spans="1:5" x14ac:dyDescent="0.25">
      <c r="A874" s="12" t="s">
        <v>873</v>
      </c>
      <c r="B874" s="13">
        <v>46168</v>
      </c>
      <c r="C874" s="12" t="s">
        <v>1103</v>
      </c>
      <c r="D874" s="12">
        <v>531</v>
      </c>
      <c r="E874" s="12" t="s">
        <v>1200</v>
      </c>
    </row>
    <row r="875" spans="1:5" x14ac:dyDescent="0.25">
      <c r="A875" s="12" t="s">
        <v>874</v>
      </c>
      <c r="B875" s="13">
        <v>46169</v>
      </c>
      <c r="C875" s="12" t="s">
        <v>1042</v>
      </c>
      <c r="D875" s="12">
        <v>613</v>
      </c>
      <c r="E875" s="12" t="s">
        <v>1200</v>
      </c>
    </row>
    <row r="876" spans="1:5" x14ac:dyDescent="0.25">
      <c r="A876" s="12" t="s">
        <v>875</v>
      </c>
      <c r="B876" s="13">
        <v>46169</v>
      </c>
      <c r="C876" s="12" t="s">
        <v>1096</v>
      </c>
      <c r="D876" s="12">
        <v>829</v>
      </c>
      <c r="E876" s="12" t="s">
        <v>1152</v>
      </c>
    </row>
    <row r="877" spans="1:5" x14ac:dyDescent="0.25">
      <c r="A877" s="12" t="s">
        <v>876</v>
      </c>
      <c r="B877" s="13">
        <v>46170</v>
      </c>
      <c r="C877" s="12" t="s">
        <v>1093</v>
      </c>
      <c r="D877" s="12">
        <v>923</v>
      </c>
      <c r="E877" s="12" t="s">
        <v>1134</v>
      </c>
    </row>
    <row r="878" spans="1:5" x14ac:dyDescent="0.25">
      <c r="A878" s="12" t="s">
        <v>877</v>
      </c>
      <c r="B878" s="13">
        <v>46170</v>
      </c>
      <c r="C878" s="12" t="s">
        <v>1049</v>
      </c>
      <c r="D878" s="12">
        <v>359</v>
      </c>
      <c r="E878" s="12" t="s">
        <v>1164</v>
      </c>
    </row>
    <row r="879" spans="1:5" x14ac:dyDescent="0.25">
      <c r="A879" s="12" t="s">
        <v>878</v>
      </c>
      <c r="B879" s="13">
        <v>46170</v>
      </c>
      <c r="C879" s="12" t="s">
        <v>1052</v>
      </c>
      <c r="D879" s="12">
        <v>769</v>
      </c>
      <c r="E879" s="12" t="s">
        <v>1168</v>
      </c>
    </row>
    <row r="880" spans="1:5" x14ac:dyDescent="0.25">
      <c r="A880" s="12" t="s">
        <v>879</v>
      </c>
      <c r="B880" s="13">
        <v>46170</v>
      </c>
      <c r="C880" s="12" t="s">
        <v>1080</v>
      </c>
      <c r="D880" s="12">
        <v>154</v>
      </c>
      <c r="E880" s="12" t="s">
        <v>1217</v>
      </c>
    </row>
    <row r="881" spans="1:5" x14ac:dyDescent="0.25">
      <c r="A881" s="12" t="s">
        <v>880</v>
      </c>
      <c r="B881" s="13">
        <v>46170</v>
      </c>
      <c r="C881" s="12" t="s">
        <v>1105</v>
      </c>
      <c r="D881" s="12">
        <v>659</v>
      </c>
      <c r="E881" s="12" t="s">
        <v>1185</v>
      </c>
    </row>
    <row r="882" spans="1:5" x14ac:dyDescent="0.25">
      <c r="A882" s="12" t="s">
        <v>881</v>
      </c>
      <c r="B882" s="13">
        <v>46171</v>
      </c>
      <c r="C882" s="12" t="s">
        <v>1092</v>
      </c>
      <c r="D882" s="12">
        <v>732</v>
      </c>
      <c r="E882" s="12" t="s">
        <v>1191</v>
      </c>
    </row>
    <row r="883" spans="1:5" x14ac:dyDescent="0.25">
      <c r="A883" s="12" t="s">
        <v>882</v>
      </c>
      <c r="B883" s="13">
        <v>46171</v>
      </c>
      <c r="C883" s="12" t="s">
        <v>1045</v>
      </c>
      <c r="D883" s="12">
        <v>235</v>
      </c>
      <c r="E883" s="12" t="s">
        <v>1209</v>
      </c>
    </row>
    <row r="884" spans="1:5" x14ac:dyDescent="0.25">
      <c r="A884" s="12" t="s">
        <v>883</v>
      </c>
      <c r="B884" s="13">
        <v>46171</v>
      </c>
      <c r="C884" s="12" t="s">
        <v>1034</v>
      </c>
      <c r="D884" s="12">
        <v>118</v>
      </c>
      <c r="E884" s="12" t="s">
        <v>1163</v>
      </c>
    </row>
    <row r="885" spans="1:5" x14ac:dyDescent="0.25">
      <c r="A885" s="12" t="s">
        <v>884</v>
      </c>
      <c r="B885" s="13">
        <v>46171</v>
      </c>
      <c r="C885" s="12" t="s">
        <v>1073</v>
      </c>
      <c r="D885" s="12">
        <v>519</v>
      </c>
      <c r="E885" s="12" t="s">
        <v>1197</v>
      </c>
    </row>
    <row r="886" spans="1:5" x14ac:dyDescent="0.25">
      <c r="A886" s="12" t="s">
        <v>885</v>
      </c>
      <c r="B886" s="13">
        <v>46171</v>
      </c>
      <c r="C886" s="12" t="s">
        <v>1048</v>
      </c>
      <c r="D886" s="12">
        <v>665</v>
      </c>
      <c r="E886" s="12" t="s">
        <v>1192</v>
      </c>
    </row>
    <row r="887" spans="1:5" x14ac:dyDescent="0.25">
      <c r="A887" s="12" t="s">
        <v>886</v>
      </c>
      <c r="B887" s="13">
        <v>46171</v>
      </c>
      <c r="C887" s="12" t="s">
        <v>1049</v>
      </c>
      <c r="D887" s="12">
        <v>191</v>
      </c>
      <c r="E887" s="12" t="s">
        <v>1209</v>
      </c>
    </row>
    <row r="888" spans="1:5" x14ac:dyDescent="0.25">
      <c r="A888" s="12" t="s">
        <v>887</v>
      </c>
      <c r="B888" s="13">
        <v>46172</v>
      </c>
      <c r="C888" s="12" t="s">
        <v>1080</v>
      </c>
      <c r="D888" s="12">
        <v>648</v>
      </c>
      <c r="E888" s="12" t="s">
        <v>1175</v>
      </c>
    </row>
    <row r="889" spans="1:5" x14ac:dyDescent="0.25">
      <c r="A889" s="12" t="s">
        <v>888</v>
      </c>
      <c r="B889" s="13">
        <v>46172</v>
      </c>
      <c r="C889" s="12" t="s">
        <v>1048</v>
      </c>
      <c r="D889" s="12">
        <v>387</v>
      </c>
      <c r="E889" s="12" t="s">
        <v>1205</v>
      </c>
    </row>
    <row r="890" spans="1:5" x14ac:dyDescent="0.25">
      <c r="A890" s="12" t="s">
        <v>889</v>
      </c>
      <c r="B890" s="13">
        <v>46172</v>
      </c>
      <c r="C890" s="12" t="s">
        <v>1042</v>
      </c>
      <c r="D890" s="12">
        <v>922</v>
      </c>
      <c r="E890" s="12" t="s">
        <v>1146</v>
      </c>
    </row>
    <row r="891" spans="1:5" x14ac:dyDescent="0.25">
      <c r="A891" s="12" t="s">
        <v>890</v>
      </c>
      <c r="B891" s="13">
        <v>46173</v>
      </c>
      <c r="C891" s="12" t="s">
        <v>1048</v>
      </c>
      <c r="D891" s="12">
        <v>716</v>
      </c>
      <c r="E891" s="12" t="s">
        <v>1170</v>
      </c>
    </row>
    <row r="892" spans="1:5" x14ac:dyDescent="0.25">
      <c r="A892" s="12" t="s">
        <v>891</v>
      </c>
      <c r="B892" s="13">
        <v>46173</v>
      </c>
      <c r="C892" s="12" t="s">
        <v>1075</v>
      </c>
      <c r="D892" s="12">
        <v>328</v>
      </c>
      <c r="E892" s="12" t="s">
        <v>1174</v>
      </c>
    </row>
    <row r="893" spans="1:5" x14ac:dyDescent="0.25">
      <c r="A893" s="12" t="s">
        <v>892</v>
      </c>
      <c r="B893" s="13">
        <v>46174</v>
      </c>
      <c r="C893" s="12" t="s">
        <v>1034</v>
      </c>
      <c r="D893" s="12">
        <v>556</v>
      </c>
      <c r="E893" s="12" t="s">
        <v>1230</v>
      </c>
    </row>
    <row r="894" spans="1:5" x14ac:dyDescent="0.25">
      <c r="A894" s="12" t="s">
        <v>893</v>
      </c>
      <c r="B894" s="13">
        <v>46174</v>
      </c>
      <c r="C894" s="12" t="s">
        <v>1061</v>
      </c>
      <c r="D894" s="12">
        <v>270</v>
      </c>
      <c r="E894" s="12" t="s">
        <v>1158</v>
      </c>
    </row>
    <row r="895" spans="1:5" x14ac:dyDescent="0.25">
      <c r="A895" s="12" t="s">
        <v>894</v>
      </c>
      <c r="B895" s="13">
        <v>46174</v>
      </c>
      <c r="C895" s="12" t="s">
        <v>1098</v>
      </c>
      <c r="D895" s="12">
        <v>634</v>
      </c>
      <c r="E895" s="12" t="s">
        <v>1190</v>
      </c>
    </row>
    <row r="896" spans="1:5" x14ac:dyDescent="0.25">
      <c r="A896" s="12" t="s">
        <v>895</v>
      </c>
      <c r="B896" s="13">
        <v>46174</v>
      </c>
      <c r="C896" s="12" t="s">
        <v>1096</v>
      </c>
      <c r="D896" s="12">
        <v>403</v>
      </c>
      <c r="E896" s="12" t="s">
        <v>1202</v>
      </c>
    </row>
    <row r="897" spans="1:5" x14ac:dyDescent="0.25">
      <c r="A897" s="12" t="s">
        <v>896</v>
      </c>
      <c r="B897" s="13">
        <v>46175</v>
      </c>
      <c r="C897" s="12" t="s">
        <v>1053</v>
      </c>
      <c r="D897" s="12">
        <v>431</v>
      </c>
      <c r="E897" s="12" t="s">
        <v>1213</v>
      </c>
    </row>
    <row r="898" spans="1:5" x14ac:dyDescent="0.25">
      <c r="A898" s="12" t="s">
        <v>897</v>
      </c>
      <c r="B898" s="13">
        <v>46175</v>
      </c>
      <c r="C898" s="12" t="s">
        <v>1048</v>
      </c>
      <c r="D898" s="12">
        <v>220</v>
      </c>
      <c r="E898" s="12" t="s">
        <v>1134</v>
      </c>
    </row>
    <row r="899" spans="1:5" x14ac:dyDescent="0.25">
      <c r="A899" s="12" t="s">
        <v>898</v>
      </c>
      <c r="B899" s="13">
        <v>46175</v>
      </c>
      <c r="C899" s="12" t="s">
        <v>1042</v>
      </c>
      <c r="D899" s="12">
        <v>987</v>
      </c>
      <c r="E899" s="12" t="s">
        <v>1199</v>
      </c>
    </row>
    <row r="900" spans="1:5" x14ac:dyDescent="0.25">
      <c r="A900" s="12" t="s">
        <v>899</v>
      </c>
      <c r="B900" s="13">
        <v>46175</v>
      </c>
      <c r="C900" s="12" t="s">
        <v>1098</v>
      </c>
      <c r="D900" s="12">
        <v>139</v>
      </c>
      <c r="E900" s="12" t="s">
        <v>1134</v>
      </c>
    </row>
    <row r="901" spans="1:5" x14ac:dyDescent="0.25">
      <c r="A901" s="12" t="s">
        <v>900</v>
      </c>
      <c r="B901" s="13">
        <v>46175</v>
      </c>
      <c r="C901" s="12" t="s">
        <v>1086</v>
      </c>
      <c r="D901" s="12">
        <v>456</v>
      </c>
      <c r="E901" s="12" t="s">
        <v>1170</v>
      </c>
    </row>
    <row r="902" spans="1:5" x14ac:dyDescent="0.25">
      <c r="A902" s="12" t="s">
        <v>901</v>
      </c>
      <c r="B902" s="13">
        <v>46175</v>
      </c>
      <c r="C902" s="12" t="s">
        <v>1090</v>
      </c>
      <c r="D902" s="12">
        <v>462</v>
      </c>
      <c r="E902" s="12" t="s">
        <v>1212</v>
      </c>
    </row>
    <row r="903" spans="1:5" x14ac:dyDescent="0.25">
      <c r="A903" s="12" t="s">
        <v>902</v>
      </c>
      <c r="B903" s="13">
        <v>46176</v>
      </c>
      <c r="C903" s="12" t="s">
        <v>1078</v>
      </c>
      <c r="D903" s="12">
        <v>273</v>
      </c>
      <c r="E903" s="12" t="s">
        <v>1226</v>
      </c>
    </row>
    <row r="904" spans="1:5" x14ac:dyDescent="0.25">
      <c r="A904" s="12" t="s">
        <v>903</v>
      </c>
      <c r="B904" s="13">
        <v>46177</v>
      </c>
      <c r="C904" s="12" t="s">
        <v>1046</v>
      </c>
      <c r="D904" s="12">
        <v>740</v>
      </c>
      <c r="E904" s="12" t="s">
        <v>1146</v>
      </c>
    </row>
    <row r="905" spans="1:5" x14ac:dyDescent="0.25">
      <c r="A905" s="12" t="s">
        <v>904</v>
      </c>
      <c r="B905" s="13">
        <v>46178</v>
      </c>
      <c r="C905" s="12" t="s">
        <v>1045</v>
      </c>
      <c r="D905" s="12">
        <v>775</v>
      </c>
      <c r="E905" s="12" t="s">
        <v>1162</v>
      </c>
    </row>
    <row r="906" spans="1:5" x14ac:dyDescent="0.25">
      <c r="A906" s="12" t="s">
        <v>905</v>
      </c>
      <c r="B906" s="13">
        <v>46178</v>
      </c>
      <c r="C906" s="12" t="s">
        <v>1049</v>
      </c>
      <c r="D906" s="12">
        <v>532</v>
      </c>
      <c r="E906" s="12" t="s">
        <v>1168</v>
      </c>
    </row>
    <row r="907" spans="1:5" x14ac:dyDescent="0.25">
      <c r="A907" s="12" t="s">
        <v>906</v>
      </c>
      <c r="B907" s="13">
        <v>46178</v>
      </c>
      <c r="C907" s="12" t="s">
        <v>1053</v>
      </c>
      <c r="D907" s="12">
        <v>751</v>
      </c>
      <c r="E907" s="12" t="s">
        <v>1183</v>
      </c>
    </row>
    <row r="908" spans="1:5" x14ac:dyDescent="0.25">
      <c r="A908" s="12" t="s">
        <v>907</v>
      </c>
      <c r="B908" s="13">
        <v>46178</v>
      </c>
      <c r="C908" s="12" t="s">
        <v>1061</v>
      </c>
      <c r="D908" s="12">
        <v>203</v>
      </c>
      <c r="E908" s="12" t="s">
        <v>1185</v>
      </c>
    </row>
    <row r="909" spans="1:5" x14ac:dyDescent="0.25">
      <c r="A909" s="12" t="s">
        <v>908</v>
      </c>
      <c r="B909" s="13">
        <v>46178</v>
      </c>
      <c r="C909" s="12" t="s">
        <v>1049</v>
      </c>
      <c r="D909" s="12">
        <v>877</v>
      </c>
      <c r="E909" s="12" t="s">
        <v>1134</v>
      </c>
    </row>
    <row r="910" spans="1:5" x14ac:dyDescent="0.25">
      <c r="A910" s="12" t="s">
        <v>909</v>
      </c>
      <c r="B910" s="13">
        <v>46179</v>
      </c>
      <c r="C910" s="12" t="s">
        <v>1090</v>
      </c>
      <c r="D910" s="12">
        <v>991</v>
      </c>
      <c r="E910" s="12" t="s">
        <v>1184</v>
      </c>
    </row>
    <row r="911" spans="1:5" x14ac:dyDescent="0.25">
      <c r="A911" s="12" t="s">
        <v>910</v>
      </c>
      <c r="B911" s="13">
        <v>46179</v>
      </c>
      <c r="C911" s="12" t="s">
        <v>1088</v>
      </c>
      <c r="D911" s="12">
        <v>800</v>
      </c>
      <c r="E911" s="12" t="s">
        <v>1163</v>
      </c>
    </row>
    <row r="912" spans="1:5" x14ac:dyDescent="0.25">
      <c r="A912" s="12" t="s">
        <v>911</v>
      </c>
      <c r="B912" s="13">
        <v>46179</v>
      </c>
      <c r="C912" s="12" t="s">
        <v>1090</v>
      </c>
      <c r="D912" s="12">
        <v>912</v>
      </c>
      <c r="E912" s="12" t="s">
        <v>1204</v>
      </c>
    </row>
    <row r="913" spans="1:5" x14ac:dyDescent="0.25">
      <c r="A913" s="12" t="s">
        <v>912</v>
      </c>
      <c r="B913" s="13">
        <v>46180</v>
      </c>
      <c r="C913" s="12" t="s">
        <v>1103</v>
      </c>
      <c r="D913" s="12">
        <v>622</v>
      </c>
      <c r="E913" s="12" t="s">
        <v>1146</v>
      </c>
    </row>
    <row r="914" spans="1:5" x14ac:dyDescent="0.25">
      <c r="A914" s="12" t="s">
        <v>913</v>
      </c>
      <c r="B914" s="13">
        <v>46180</v>
      </c>
      <c r="C914" s="12" t="s">
        <v>1098</v>
      </c>
      <c r="D914" s="12">
        <v>505</v>
      </c>
      <c r="E914" s="12" t="s">
        <v>1143</v>
      </c>
    </row>
    <row r="915" spans="1:5" x14ac:dyDescent="0.25">
      <c r="A915" s="12" t="s">
        <v>914</v>
      </c>
      <c r="B915" s="13">
        <v>46180</v>
      </c>
      <c r="C915" s="12" t="s">
        <v>1045</v>
      </c>
      <c r="D915" s="12">
        <v>333</v>
      </c>
      <c r="E915" s="12" t="s">
        <v>1134</v>
      </c>
    </row>
    <row r="916" spans="1:5" x14ac:dyDescent="0.25">
      <c r="A916" s="12" t="s">
        <v>915</v>
      </c>
      <c r="B916" s="13">
        <v>46180</v>
      </c>
      <c r="C916" s="12" t="s">
        <v>1055</v>
      </c>
      <c r="D916" s="12">
        <v>412</v>
      </c>
      <c r="E916" s="12" t="s">
        <v>1184</v>
      </c>
    </row>
    <row r="917" spans="1:5" x14ac:dyDescent="0.25">
      <c r="A917" s="12" t="s">
        <v>916</v>
      </c>
      <c r="B917" s="13">
        <v>46181</v>
      </c>
      <c r="C917" s="12" t="s">
        <v>1039</v>
      </c>
      <c r="D917" s="12">
        <v>991</v>
      </c>
      <c r="E917" s="12" t="s">
        <v>1230</v>
      </c>
    </row>
    <row r="918" spans="1:5" x14ac:dyDescent="0.25">
      <c r="A918" s="12" t="s">
        <v>917</v>
      </c>
      <c r="B918" s="13">
        <v>46181</v>
      </c>
      <c r="C918" s="12" t="s">
        <v>1027</v>
      </c>
      <c r="D918" s="12">
        <v>955</v>
      </c>
      <c r="E918" s="12" t="s">
        <v>1227</v>
      </c>
    </row>
    <row r="919" spans="1:5" x14ac:dyDescent="0.25">
      <c r="A919" s="12" t="s">
        <v>918</v>
      </c>
      <c r="B919" s="13">
        <v>46181</v>
      </c>
      <c r="C919" s="12" t="s">
        <v>1063</v>
      </c>
      <c r="D919" s="12">
        <v>815</v>
      </c>
      <c r="E919" s="12" t="s">
        <v>1192</v>
      </c>
    </row>
    <row r="920" spans="1:5" x14ac:dyDescent="0.25">
      <c r="A920" s="12" t="s">
        <v>919</v>
      </c>
      <c r="B920" s="13">
        <v>46182</v>
      </c>
      <c r="C920" s="12" t="s">
        <v>1049</v>
      </c>
      <c r="D920" s="12">
        <v>391</v>
      </c>
      <c r="E920" s="12" t="s">
        <v>1188</v>
      </c>
    </row>
    <row r="921" spans="1:5" x14ac:dyDescent="0.25">
      <c r="A921" s="12" t="s">
        <v>920</v>
      </c>
      <c r="B921" s="13">
        <v>46182</v>
      </c>
      <c r="C921" s="12" t="s">
        <v>1095</v>
      </c>
      <c r="D921" s="12">
        <v>729</v>
      </c>
      <c r="E921" s="12" t="s">
        <v>1149</v>
      </c>
    </row>
    <row r="922" spans="1:5" x14ac:dyDescent="0.25">
      <c r="A922" s="12" t="s">
        <v>921</v>
      </c>
      <c r="B922" s="13">
        <v>46182</v>
      </c>
      <c r="C922" s="12" t="s">
        <v>1093</v>
      </c>
      <c r="D922" s="12">
        <v>933</v>
      </c>
      <c r="E922" s="12" t="s">
        <v>1148</v>
      </c>
    </row>
    <row r="923" spans="1:5" x14ac:dyDescent="0.25">
      <c r="A923" s="12" t="s">
        <v>922</v>
      </c>
      <c r="B923" s="13">
        <v>46183</v>
      </c>
      <c r="C923" s="12" t="s">
        <v>1103</v>
      </c>
      <c r="D923" s="12">
        <v>587</v>
      </c>
      <c r="E923" s="12" t="s">
        <v>1209</v>
      </c>
    </row>
    <row r="924" spans="1:5" x14ac:dyDescent="0.25">
      <c r="A924" s="12" t="s">
        <v>923</v>
      </c>
      <c r="B924" s="13">
        <v>46183</v>
      </c>
      <c r="C924" s="12" t="s">
        <v>1049</v>
      </c>
      <c r="D924" s="12">
        <v>147</v>
      </c>
      <c r="E924" s="12" t="s">
        <v>1193</v>
      </c>
    </row>
    <row r="925" spans="1:5" x14ac:dyDescent="0.25">
      <c r="A925" s="12" t="s">
        <v>924</v>
      </c>
      <c r="B925" s="13">
        <v>46183</v>
      </c>
      <c r="C925" s="12" t="s">
        <v>1039</v>
      </c>
      <c r="D925" s="12">
        <v>276</v>
      </c>
      <c r="E925" s="12" t="s">
        <v>1157</v>
      </c>
    </row>
    <row r="926" spans="1:5" x14ac:dyDescent="0.25">
      <c r="A926" s="12" t="s">
        <v>925</v>
      </c>
      <c r="B926" s="13">
        <v>46184</v>
      </c>
      <c r="C926" s="12" t="s">
        <v>1064</v>
      </c>
      <c r="D926" s="12">
        <v>148</v>
      </c>
      <c r="E926" s="12" t="s">
        <v>1159</v>
      </c>
    </row>
    <row r="927" spans="1:5" x14ac:dyDescent="0.25">
      <c r="A927" s="12" t="s">
        <v>926</v>
      </c>
      <c r="B927" s="13">
        <v>46184</v>
      </c>
      <c r="C927" s="12" t="s">
        <v>1027</v>
      </c>
      <c r="D927" s="12">
        <v>737</v>
      </c>
      <c r="E927" s="12" t="s">
        <v>1171</v>
      </c>
    </row>
    <row r="928" spans="1:5" x14ac:dyDescent="0.25">
      <c r="A928" s="12" t="s">
        <v>927</v>
      </c>
      <c r="B928" s="13">
        <v>46184</v>
      </c>
      <c r="C928" s="12" t="s">
        <v>1058</v>
      </c>
      <c r="D928" s="12">
        <v>122</v>
      </c>
      <c r="E928" s="12" t="s">
        <v>1169</v>
      </c>
    </row>
    <row r="929" spans="1:5" x14ac:dyDescent="0.25">
      <c r="A929" s="12" t="s">
        <v>928</v>
      </c>
      <c r="B929" s="13">
        <v>46184</v>
      </c>
      <c r="C929" s="12" t="s">
        <v>1027</v>
      </c>
      <c r="D929" s="12">
        <v>866</v>
      </c>
      <c r="E929" s="12" t="s">
        <v>1226</v>
      </c>
    </row>
    <row r="930" spans="1:5" x14ac:dyDescent="0.25">
      <c r="A930" s="12" t="s">
        <v>929</v>
      </c>
      <c r="B930" s="13">
        <v>46185</v>
      </c>
      <c r="C930" s="12" t="s">
        <v>1092</v>
      </c>
      <c r="D930" s="12">
        <v>779</v>
      </c>
      <c r="E930" s="12" t="s">
        <v>1154</v>
      </c>
    </row>
    <row r="931" spans="1:5" x14ac:dyDescent="0.25">
      <c r="A931" s="12" t="s">
        <v>930</v>
      </c>
      <c r="B931" s="13">
        <v>46185</v>
      </c>
      <c r="C931" s="12" t="s">
        <v>1058</v>
      </c>
      <c r="D931" s="12">
        <v>675</v>
      </c>
      <c r="E931" s="12" t="s">
        <v>1209</v>
      </c>
    </row>
    <row r="932" spans="1:5" x14ac:dyDescent="0.25">
      <c r="A932" s="12" t="s">
        <v>931</v>
      </c>
      <c r="B932" s="13">
        <v>46185</v>
      </c>
      <c r="C932" s="12" t="s">
        <v>1084</v>
      </c>
      <c r="D932" s="12">
        <v>707</v>
      </c>
      <c r="E932" s="12" t="s">
        <v>1218</v>
      </c>
    </row>
    <row r="933" spans="1:5" x14ac:dyDescent="0.25">
      <c r="A933" s="12" t="s">
        <v>932</v>
      </c>
      <c r="B933" s="13">
        <v>46185</v>
      </c>
      <c r="C933" s="12" t="s">
        <v>1070</v>
      </c>
      <c r="D933" s="12">
        <v>524</v>
      </c>
      <c r="E933" s="12" t="s">
        <v>1140</v>
      </c>
    </row>
    <row r="934" spans="1:5" x14ac:dyDescent="0.25">
      <c r="A934" s="12" t="s">
        <v>933</v>
      </c>
      <c r="B934" s="13">
        <v>46185</v>
      </c>
      <c r="C934" s="12" t="s">
        <v>1045</v>
      </c>
      <c r="D934" s="12">
        <v>133</v>
      </c>
      <c r="E934" s="12" t="s">
        <v>1175</v>
      </c>
    </row>
    <row r="935" spans="1:5" x14ac:dyDescent="0.25">
      <c r="A935" s="12" t="s">
        <v>934</v>
      </c>
      <c r="B935" s="13">
        <v>46185</v>
      </c>
      <c r="C935" s="12" t="s">
        <v>1093</v>
      </c>
      <c r="D935" s="12">
        <v>132</v>
      </c>
      <c r="E935" s="12" t="s">
        <v>1151</v>
      </c>
    </row>
    <row r="936" spans="1:5" x14ac:dyDescent="0.25">
      <c r="A936" s="12" t="s">
        <v>935</v>
      </c>
      <c r="B936" s="13">
        <v>46186</v>
      </c>
      <c r="C936" s="12" t="s">
        <v>1045</v>
      </c>
      <c r="D936" s="12">
        <v>580</v>
      </c>
      <c r="E936" s="12" t="s">
        <v>1144</v>
      </c>
    </row>
    <row r="937" spans="1:5" x14ac:dyDescent="0.25">
      <c r="A937" s="12" t="s">
        <v>936</v>
      </c>
      <c r="B937" s="13">
        <v>46186</v>
      </c>
      <c r="C937" s="12" t="s">
        <v>1055</v>
      </c>
      <c r="D937" s="12">
        <v>218</v>
      </c>
      <c r="E937" s="12" t="s">
        <v>1184</v>
      </c>
    </row>
    <row r="938" spans="1:5" x14ac:dyDescent="0.25">
      <c r="A938" s="12" t="s">
        <v>937</v>
      </c>
      <c r="B938" s="13">
        <v>46186</v>
      </c>
      <c r="C938" s="12" t="s">
        <v>1064</v>
      </c>
      <c r="D938" s="12">
        <v>410</v>
      </c>
      <c r="E938" s="12" t="s">
        <v>1186</v>
      </c>
    </row>
    <row r="939" spans="1:5" x14ac:dyDescent="0.25">
      <c r="A939" s="12" t="s">
        <v>938</v>
      </c>
      <c r="B939" s="13">
        <v>46186</v>
      </c>
      <c r="C939" s="12" t="s">
        <v>1048</v>
      </c>
      <c r="D939" s="12">
        <v>672</v>
      </c>
      <c r="E939" s="12" t="s">
        <v>1145</v>
      </c>
    </row>
    <row r="940" spans="1:5" x14ac:dyDescent="0.25">
      <c r="A940" s="12" t="s">
        <v>939</v>
      </c>
      <c r="B940" s="13">
        <v>46186</v>
      </c>
      <c r="C940" s="12" t="s">
        <v>1070</v>
      </c>
      <c r="D940" s="12">
        <v>429</v>
      </c>
      <c r="E940" s="12" t="s">
        <v>1178</v>
      </c>
    </row>
    <row r="941" spans="1:5" x14ac:dyDescent="0.25">
      <c r="A941" s="12" t="s">
        <v>940</v>
      </c>
      <c r="B941" s="13">
        <v>46187</v>
      </c>
      <c r="C941" s="12" t="s">
        <v>1047</v>
      </c>
      <c r="D941" s="12">
        <v>260</v>
      </c>
      <c r="E941" s="12" t="s">
        <v>1169</v>
      </c>
    </row>
    <row r="942" spans="1:5" x14ac:dyDescent="0.25">
      <c r="A942" s="12" t="s">
        <v>941</v>
      </c>
      <c r="B942" s="13">
        <v>46187</v>
      </c>
      <c r="C942" s="12" t="s">
        <v>1075</v>
      </c>
      <c r="D942" s="12">
        <v>736</v>
      </c>
      <c r="E942" s="12" t="s">
        <v>1188</v>
      </c>
    </row>
    <row r="943" spans="1:5" x14ac:dyDescent="0.25">
      <c r="A943" s="12" t="s">
        <v>942</v>
      </c>
      <c r="B943" s="13">
        <v>46188</v>
      </c>
      <c r="C943" s="12" t="s">
        <v>1064</v>
      </c>
      <c r="D943" s="12">
        <v>241</v>
      </c>
      <c r="E943" s="12" t="s">
        <v>1186</v>
      </c>
    </row>
    <row r="944" spans="1:5" x14ac:dyDescent="0.25">
      <c r="A944" s="12" t="s">
        <v>943</v>
      </c>
      <c r="B944" s="13">
        <v>46188</v>
      </c>
      <c r="C944" s="12" t="s">
        <v>1053</v>
      </c>
      <c r="D944" s="12">
        <v>925</v>
      </c>
      <c r="E944" s="12" t="s">
        <v>1152</v>
      </c>
    </row>
    <row r="945" spans="1:5" x14ac:dyDescent="0.25">
      <c r="A945" s="12" t="s">
        <v>944</v>
      </c>
      <c r="B945" s="13">
        <v>46188</v>
      </c>
      <c r="C945" s="12" t="s">
        <v>1037</v>
      </c>
      <c r="D945" s="12">
        <v>923</v>
      </c>
      <c r="E945" s="12" t="s">
        <v>1143</v>
      </c>
    </row>
    <row r="946" spans="1:5" x14ac:dyDescent="0.25">
      <c r="A946" s="12" t="s">
        <v>945</v>
      </c>
      <c r="B946" s="13">
        <v>46189</v>
      </c>
      <c r="C946" s="12" t="s">
        <v>1078</v>
      </c>
      <c r="D946" s="12">
        <v>654</v>
      </c>
      <c r="E946" s="12" t="s">
        <v>1197</v>
      </c>
    </row>
    <row r="947" spans="1:5" x14ac:dyDescent="0.25">
      <c r="A947" s="12" t="s">
        <v>946</v>
      </c>
      <c r="B947" s="13">
        <v>46189</v>
      </c>
      <c r="C947" s="12" t="s">
        <v>1053</v>
      </c>
      <c r="D947" s="12">
        <v>221</v>
      </c>
      <c r="E947" s="12" t="s">
        <v>1176</v>
      </c>
    </row>
    <row r="948" spans="1:5" x14ac:dyDescent="0.25">
      <c r="A948" s="12" t="s">
        <v>947</v>
      </c>
      <c r="B948" s="13">
        <v>46189</v>
      </c>
      <c r="C948" s="12" t="s">
        <v>1046</v>
      </c>
      <c r="D948" s="12">
        <v>249</v>
      </c>
      <c r="E948" s="12" t="s">
        <v>1159</v>
      </c>
    </row>
    <row r="949" spans="1:5" x14ac:dyDescent="0.25">
      <c r="A949" s="12" t="s">
        <v>948</v>
      </c>
      <c r="B949" s="13">
        <v>46190</v>
      </c>
      <c r="C949" s="12" t="s">
        <v>1058</v>
      </c>
      <c r="D949" s="12">
        <v>460</v>
      </c>
      <c r="E949" s="12" t="s">
        <v>1196</v>
      </c>
    </row>
    <row r="950" spans="1:5" x14ac:dyDescent="0.25">
      <c r="A950" s="12" t="s">
        <v>949</v>
      </c>
      <c r="B950" s="13">
        <v>46190</v>
      </c>
      <c r="C950" s="12" t="s">
        <v>1066</v>
      </c>
      <c r="D950" s="12">
        <v>916</v>
      </c>
      <c r="E950" s="12" t="s">
        <v>1152</v>
      </c>
    </row>
    <row r="951" spans="1:5" x14ac:dyDescent="0.25">
      <c r="A951" s="12" t="s">
        <v>950</v>
      </c>
      <c r="B951" s="13">
        <v>46190</v>
      </c>
      <c r="C951" s="12" t="s">
        <v>1055</v>
      </c>
      <c r="D951" s="12">
        <v>706</v>
      </c>
      <c r="E951" s="12" t="s">
        <v>1185</v>
      </c>
    </row>
    <row r="952" spans="1:5" x14ac:dyDescent="0.25">
      <c r="A952" s="12" t="s">
        <v>951</v>
      </c>
      <c r="B952" s="13">
        <v>46190</v>
      </c>
      <c r="C952" s="12" t="s">
        <v>1084</v>
      </c>
      <c r="D952" s="12">
        <v>286</v>
      </c>
      <c r="E952" s="12" t="s">
        <v>1134</v>
      </c>
    </row>
    <row r="953" spans="1:5" x14ac:dyDescent="0.25">
      <c r="A953" s="12" t="s">
        <v>952</v>
      </c>
      <c r="B953" s="13">
        <v>46191</v>
      </c>
      <c r="C953" s="12" t="s">
        <v>1103</v>
      </c>
      <c r="D953" s="12">
        <v>952</v>
      </c>
      <c r="E953" s="12" t="s">
        <v>1141</v>
      </c>
    </row>
    <row r="954" spans="1:5" x14ac:dyDescent="0.25">
      <c r="A954" s="12" t="s">
        <v>953</v>
      </c>
      <c r="B954" s="13">
        <v>46191</v>
      </c>
      <c r="C954" s="12" t="s">
        <v>1027</v>
      </c>
      <c r="D954" s="12">
        <v>512</v>
      </c>
      <c r="E954" s="12" t="s">
        <v>1144</v>
      </c>
    </row>
    <row r="955" spans="1:5" x14ac:dyDescent="0.25">
      <c r="A955" s="12" t="s">
        <v>954</v>
      </c>
      <c r="B955" s="13">
        <v>46191</v>
      </c>
      <c r="C955" s="12" t="s">
        <v>1045</v>
      </c>
      <c r="D955" s="12">
        <v>912</v>
      </c>
      <c r="E955" s="12" t="s">
        <v>1163</v>
      </c>
    </row>
    <row r="956" spans="1:5" x14ac:dyDescent="0.25">
      <c r="A956" s="12" t="s">
        <v>955</v>
      </c>
      <c r="B956" s="13">
        <v>46191</v>
      </c>
      <c r="C956" s="12" t="s">
        <v>1047</v>
      </c>
      <c r="D956" s="12">
        <v>950</v>
      </c>
      <c r="E956" s="12" t="s">
        <v>1136</v>
      </c>
    </row>
    <row r="957" spans="1:5" x14ac:dyDescent="0.25">
      <c r="A957" s="12" t="s">
        <v>956</v>
      </c>
      <c r="B957" s="13">
        <v>46192</v>
      </c>
      <c r="C957" s="12" t="s">
        <v>1034</v>
      </c>
      <c r="D957" s="12">
        <v>202</v>
      </c>
      <c r="E957" s="12" t="s">
        <v>1136</v>
      </c>
    </row>
    <row r="958" spans="1:5" x14ac:dyDescent="0.25">
      <c r="A958" s="12" t="s">
        <v>957</v>
      </c>
      <c r="B958" s="13">
        <v>46192</v>
      </c>
      <c r="C958" s="12" t="s">
        <v>1082</v>
      </c>
      <c r="D958" s="12">
        <v>148</v>
      </c>
      <c r="E958" s="12" t="s">
        <v>1200</v>
      </c>
    </row>
    <row r="959" spans="1:5" x14ac:dyDescent="0.25">
      <c r="A959" s="12" t="s">
        <v>958</v>
      </c>
      <c r="B959" s="13">
        <v>46192</v>
      </c>
      <c r="C959" s="12" t="s">
        <v>1064</v>
      </c>
      <c r="D959" s="12">
        <v>405</v>
      </c>
      <c r="E959" s="12" t="s">
        <v>1221</v>
      </c>
    </row>
    <row r="960" spans="1:5" x14ac:dyDescent="0.25">
      <c r="A960" s="12" t="s">
        <v>959</v>
      </c>
      <c r="B960" s="13">
        <v>46192</v>
      </c>
      <c r="C960" s="12" t="s">
        <v>1098</v>
      </c>
      <c r="D960" s="12">
        <v>630</v>
      </c>
      <c r="E960" s="12" t="s">
        <v>1178</v>
      </c>
    </row>
    <row r="961" spans="1:5" x14ac:dyDescent="0.25">
      <c r="A961" s="12" t="s">
        <v>960</v>
      </c>
      <c r="B961" s="13">
        <v>46192</v>
      </c>
      <c r="C961" s="12" t="s">
        <v>1061</v>
      </c>
      <c r="D961" s="12">
        <v>743</v>
      </c>
      <c r="E961" s="12" t="s">
        <v>1154</v>
      </c>
    </row>
    <row r="962" spans="1:5" x14ac:dyDescent="0.25">
      <c r="A962" s="12" t="s">
        <v>961</v>
      </c>
      <c r="B962" s="13">
        <v>46193</v>
      </c>
      <c r="C962" s="12" t="s">
        <v>1080</v>
      </c>
      <c r="D962" s="12">
        <v>382</v>
      </c>
      <c r="E962" s="12" t="s">
        <v>1163</v>
      </c>
    </row>
    <row r="963" spans="1:5" x14ac:dyDescent="0.25">
      <c r="A963" s="12" t="s">
        <v>962</v>
      </c>
      <c r="B963" s="13">
        <v>46193</v>
      </c>
      <c r="C963" s="12" t="s">
        <v>1082</v>
      </c>
      <c r="D963" s="12">
        <v>965</v>
      </c>
      <c r="E963" s="12" t="s">
        <v>1170</v>
      </c>
    </row>
    <row r="964" spans="1:5" x14ac:dyDescent="0.25">
      <c r="A964" s="12" t="s">
        <v>963</v>
      </c>
      <c r="B964" s="13">
        <v>46193</v>
      </c>
      <c r="C964" s="12" t="s">
        <v>1068</v>
      </c>
      <c r="D964" s="12">
        <v>359</v>
      </c>
      <c r="E964" s="12" t="s">
        <v>1176</v>
      </c>
    </row>
    <row r="965" spans="1:5" x14ac:dyDescent="0.25">
      <c r="A965" s="12" t="s">
        <v>964</v>
      </c>
      <c r="B965" s="13">
        <v>46194</v>
      </c>
      <c r="C965" s="12" t="s">
        <v>1037</v>
      </c>
      <c r="D965" s="12">
        <v>287</v>
      </c>
      <c r="E965" s="12" t="s">
        <v>1168</v>
      </c>
    </row>
    <row r="966" spans="1:5" x14ac:dyDescent="0.25">
      <c r="A966" s="12" t="s">
        <v>965</v>
      </c>
      <c r="B966" s="13">
        <v>46194</v>
      </c>
      <c r="C966" s="12" t="s">
        <v>1055</v>
      </c>
      <c r="D966" s="12">
        <v>843</v>
      </c>
      <c r="E966" s="12" t="s">
        <v>1176</v>
      </c>
    </row>
    <row r="967" spans="1:5" x14ac:dyDescent="0.25">
      <c r="A967" s="12" t="s">
        <v>966</v>
      </c>
      <c r="B967" s="13">
        <v>46194</v>
      </c>
      <c r="C967" s="12" t="s">
        <v>1045</v>
      </c>
      <c r="D967" s="12">
        <v>238</v>
      </c>
      <c r="E967" s="12" t="s">
        <v>1187</v>
      </c>
    </row>
    <row r="968" spans="1:5" x14ac:dyDescent="0.25">
      <c r="A968" s="12" t="s">
        <v>967</v>
      </c>
      <c r="B968" s="13">
        <v>46194</v>
      </c>
      <c r="C968" s="12" t="s">
        <v>1069</v>
      </c>
      <c r="D968" s="12">
        <v>115</v>
      </c>
      <c r="E968" s="12" t="s">
        <v>1183</v>
      </c>
    </row>
    <row r="969" spans="1:5" x14ac:dyDescent="0.25">
      <c r="A969" s="12" t="s">
        <v>968</v>
      </c>
      <c r="B969" s="13">
        <v>46194</v>
      </c>
      <c r="C969" s="12" t="s">
        <v>1078</v>
      </c>
      <c r="D969" s="12">
        <v>649</v>
      </c>
      <c r="E969" s="12" t="s">
        <v>1182</v>
      </c>
    </row>
    <row r="970" spans="1:5" x14ac:dyDescent="0.25">
      <c r="A970" s="12" t="s">
        <v>969</v>
      </c>
      <c r="B970" s="13">
        <v>46195</v>
      </c>
      <c r="C970" s="12" t="s">
        <v>1070</v>
      </c>
      <c r="D970" s="12">
        <v>115</v>
      </c>
      <c r="E970" s="12" t="s">
        <v>1198</v>
      </c>
    </row>
    <row r="971" spans="1:5" x14ac:dyDescent="0.25">
      <c r="A971" s="12" t="s">
        <v>970</v>
      </c>
      <c r="B971" s="13">
        <v>46195</v>
      </c>
      <c r="C971" s="12" t="s">
        <v>1031</v>
      </c>
      <c r="D971" s="12">
        <v>608</v>
      </c>
      <c r="E971" s="12" t="s">
        <v>1134</v>
      </c>
    </row>
    <row r="972" spans="1:5" x14ac:dyDescent="0.25">
      <c r="A972" s="12" t="s">
        <v>971</v>
      </c>
      <c r="B972" s="13">
        <v>46195</v>
      </c>
      <c r="C972" s="12" t="s">
        <v>1090</v>
      </c>
      <c r="D972" s="12">
        <v>693</v>
      </c>
      <c r="E972" s="12" t="s">
        <v>1215</v>
      </c>
    </row>
    <row r="973" spans="1:5" x14ac:dyDescent="0.25">
      <c r="A973" s="12" t="s">
        <v>972</v>
      </c>
      <c r="B973" s="13">
        <v>46195</v>
      </c>
      <c r="C973" s="12" t="s">
        <v>1096</v>
      </c>
      <c r="D973" s="12">
        <v>460</v>
      </c>
      <c r="E973" s="12" t="s">
        <v>1212</v>
      </c>
    </row>
    <row r="974" spans="1:5" x14ac:dyDescent="0.25">
      <c r="A974" s="12" t="s">
        <v>973</v>
      </c>
      <c r="B974" s="13">
        <v>46196</v>
      </c>
      <c r="C974" s="12" t="s">
        <v>1053</v>
      </c>
      <c r="D974" s="12">
        <v>768</v>
      </c>
      <c r="E974" s="12" t="s">
        <v>1140</v>
      </c>
    </row>
    <row r="975" spans="1:5" x14ac:dyDescent="0.25">
      <c r="A975" s="12" t="s">
        <v>974</v>
      </c>
      <c r="B975" s="13">
        <v>46196</v>
      </c>
      <c r="C975" s="12" t="s">
        <v>1061</v>
      </c>
      <c r="D975" s="12">
        <v>822</v>
      </c>
      <c r="E975" s="12" t="s">
        <v>1172</v>
      </c>
    </row>
    <row r="976" spans="1:5" x14ac:dyDescent="0.25">
      <c r="A976" s="12" t="s">
        <v>975</v>
      </c>
      <c r="B976" s="13">
        <v>46196</v>
      </c>
      <c r="C976" s="12" t="s">
        <v>1098</v>
      </c>
      <c r="D976" s="12">
        <v>915</v>
      </c>
      <c r="E976" s="12" t="s">
        <v>1194</v>
      </c>
    </row>
    <row r="977" spans="1:5" x14ac:dyDescent="0.25">
      <c r="A977" s="12" t="s">
        <v>976</v>
      </c>
      <c r="B977" s="13">
        <v>46196</v>
      </c>
      <c r="C977" s="12" t="s">
        <v>1084</v>
      </c>
      <c r="D977" s="12">
        <v>599</v>
      </c>
      <c r="E977" s="12" t="s">
        <v>1172</v>
      </c>
    </row>
    <row r="978" spans="1:5" x14ac:dyDescent="0.25">
      <c r="A978" s="12" t="s">
        <v>977</v>
      </c>
      <c r="B978" s="13">
        <v>46196</v>
      </c>
      <c r="C978" s="12" t="s">
        <v>1055</v>
      </c>
      <c r="D978" s="12">
        <v>979</v>
      </c>
      <c r="E978" s="12" t="s">
        <v>1137</v>
      </c>
    </row>
    <row r="979" spans="1:5" x14ac:dyDescent="0.25">
      <c r="A979" s="12" t="s">
        <v>978</v>
      </c>
      <c r="B979" s="13">
        <v>46197</v>
      </c>
      <c r="C979" s="12" t="s">
        <v>1105</v>
      </c>
      <c r="D979" s="12">
        <v>694</v>
      </c>
      <c r="E979" s="12" t="s">
        <v>1137</v>
      </c>
    </row>
    <row r="980" spans="1:5" x14ac:dyDescent="0.25">
      <c r="A980" s="12" t="s">
        <v>979</v>
      </c>
      <c r="B980" s="13">
        <v>46197</v>
      </c>
      <c r="C980" s="12" t="s">
        <v>1105</v>
      </c>
      <c r="D980" s="12">
        <v>421</v>
      </c>
      <c r="E980" s="12" t="s">
        <v>1189</v>
      </c>
    </row>
    <row r="981" spans="1:5" x14ac:dyDescent="0.25">
      <c r="A981" s="12" t="s">
        <v>980</v>
      </c>
      <c r="B981" s="13">
        <v>46197</v>
      </c>
      <c r="C981" s="12" t="s">
        <v>1055</v>
      </c>
      <c r="D981" s="12">
        <v>124</v>
      </c>
      <c r="E981" s="12" t="s">
        <v>1137</v>
      </c>
    </row>
    <row r="982" spans="1:5" x14ac:dyDescent="0.25">
      <c r="A982" s="12" t="s">
        <v>981</v>
      </c>
      <c r="B982" s="13">
        <v>46198</v>
      </c>
      <c r="C982" s="12" t="s">
        <v>1066</v>
      </c>
      <c r="D982" s="12">
        <v>837</v>
      </c>
      <c r="E982" s="12" t="s">
        <v>1163</v>
      </c>
    </row>
    <row r="983" spans="1:5" x14ac:dyDescent="0.25">
      <c r="A983" s="12" t="s">
        <v>982</v>
      </c>
      <c r="B983" s="13">
        <v>46198</v>
      </c>
      <c r="C983" s="12" t="s">
        <v>1049</v>
      </c>
      <c r="D983" s="12">
        <v>619</v>
      </c>
      <c r="E983" s="12" t="s">
        <v>1165</v>
      </c>
    </row>
    <row r="984" spans="1:5" x14ac:dyDescent="0.25">
      <c r="A984" s="12" t="s">
        <v>983</v>
      </c>
      <c r="B984" s="13">
        <v>46198</v>
      </c>
      <c r="C984" s="12" t="s">
        <v>1098</v>
      </c>
      <c r="D984" s="12">
        <v>201</v>
      </c>
      <c r="E984" s="12" t="s">
        <v>1136</v>
      </c>
    </row>
    <row r="985" spans="1:5" x14ac:dyDescent="0.25">
      <c r="A985" s="12" t="s">
        <v>984</v>
      </c>
      <c r="B985" s="13">
        <v>46199</v>
      </c>
      <c r="C985" s="12" t="s">
        <v>1075</v>
      </c>
      <c r="D985" s="12">
        <v>485</v>
      </c>
      <c r="E985" s="12" t="s">
        <v>1141</v>
      </c>
    </row>
    <row r="986" spans="1:5" x14ac:dyDescent="0.25">
      <c r="A986" s="12" t="s">
        <v>985</v>
      </c>
      <c r="B986" s="13">
        <v>46199</v>
      </c>
      <c r="C986" s="12" t="s">
        <v>1055</v>
      </c>
      <c r="D986" s="12">
        <v>987</v>
      </c>
      <c r="E986" s="12" t="s">
        <v>1137</v>
      </c>
    </row>
    <row r="987" spans="1:5" x14ac:dyDescent="0.25">
      <c r="A987" s="12" t="s">
        <v>986</v>
      </c>
      <c r="B987" s="13">
        <v>46199</v>
      </c>
      <c r="C987" s="12" t="s">
        <v>1063</v>
      </c>
      <c r="D987" s="12">
        <v>957</v>
      </c>
      <c r="E987" s="12" t="s">
        <v>1171</v>
      </c>
    </row>
    <row r="988" spans="1:5" x14ac:dyDescent="0.25">
      <c r="A988" s="12" t="s">
        <v>987</v>
      </c>
      <c r="B988" s="13">
        <v>46200</v>
      </c>
      <c r="C988" s="12" t="s">
        <v>1049</v>
      </c>
      <c r="D988" s="12">
        <v>371</v>
      </c>
      <c r="E988" s="12" t="s">
        <v>1215</v>
      </c>
    </row>
    <row r="989" spans="1:5" x14ac:dyDescent="0.25">
      <c r="A989" s="12" t="s">
        <v>988</v>
      </c>
      <c r="B989" s="13">
        <v>46200</v>
      </c>
      <c r="C989" s="12" t="s">
        <v>1039</v>
      </c>
      <c r="D989" s="12">
        <v>832</v>
      </c>
      <c r="E989" s="12" t="s">
        <v>1154</v>
      </c>
    </row>
    <row r="990" spans="1:5" x14ac:dyDescent="0.25">
      <c r="A990" s="12" t="s">
        <v>989</v>
      </c>
      <c r="B990" s="13">
        <v>46200</v>
      </c>
      <c r="C990" s="12" t="s">
        <v>1088</v>
      </c>
      <c r="D990" s="12">
        <v>899</v>
      </c>
      <c r="E990" s="12" t="s">
        <v>1184</v>
      </c>
    </row>
    <row r="991" spans="1:5" x14ac:dyDescent="0.25">
      <c r="A991" s="12" t="s">
        <v>990</v>
      </c>
      <c r="B991" s="13">
        <v>46200</v>
      </c>
      <c r="C991" s="12" t="s">
        <v>1093</v>
      </c>
      <c r="D991" s="12">
        <v>371</v>
      </c>
      <c r="E991" s="12" t="s">
        <v>1166</v>
      </c>
    </row>
    <row r="992" spans="1:5" x14ac:dyDescent="0.25">
      <c r="A992" s="12" t="s">
        <v>991</v>
      </c>
      <c r="B992" s="13">
        <v>46201</v>
      </c>
      <c r="C992" s="12" t="s">
        <v>1063</v>
      </c>
      <c r="D992" s="12">
        <v>868</v>
      </c>
      <c r="E992" s="12" t="s">
        <v>1208</v>
      </c>
    </row>
    <row r="993" spans="1:5" x14ac:dyDescent="0.25">
      <c r="A993" s="12" t="s">
        <v>992</v>
      </c>
      <c r="B993" s="13">
        <v>46201</v>
      </c>
      <c r="C993" s="12" t="s">
        <v>1031</v>
      </c>
      <c r="D993" s="12">
        <v>274</v>
      </c>
      <c r="E993" s="12" t="s">
        <v>1210</v>
      </c>
    </row>
    <row r="994" spans="1:5" x14ac:dyDescent="0.25">
      <c r="A994" s="12" t="s">
        <v>993</v>
      </c>
      <c r="B994" s="13">
        <v>46201</v>
      </c>
      <c r="C994" s="12" t="s">
        <v>1090</v>
      </c>
      <c r="D994" s="12">
        <v>731</v>
      </c>
      <c r="E994" s="12" t="s">
        <v>1185</v>
      </c>
    </row>
    <row r="995" spans="1:5" x14ac:dyDescent="0.25">
      <c r="A995" s="12" t="s">
        <v>994</v>
      </c>
      <c r="B995" s="13">
        <v>46201</v>
      </c>
      <c r="C995" s="12" t="s">
        <v>1037</v>
      </c>
      <c r="D995" s="12">
        <v>202</v>
      </c>
      <c r="E995" s="12" t="s">
        <v>1152</v>
      </c>
    </row>
    <row r="996" spans="1:5" x14ac:dyDescent="0.25">
      <c r="A996" s="12" t="s">
        <v>995</v>
      </c>
      <c r="B996" s="13">
        <v>46202</v>
      </c>
      <c r="C996" s="12" t="s">
        <v>1105</v>
      </c>
      <c r="D996" s="12">
        <v>430</v>
      </c>
      <c r="E996" s="12" t="s">
        <v>1218</v>
      </c>
    </row>
    <row r="997" spans="1:5" x14ac:dyDescent="0.25">
      <c r="A997" s="12" t="s">
        <v>996</v>
      </c>
      <c r="B997" s="13">
        <v>46202</v>
      </c>
      <c r="C997" s="12" t="s">
        <v>1093</v>
      </c>
      <c r="D997" s="12">
        <v>856</v>
      </c>
      <c r="E997" s="12" t="s">
        <v>1206</v>
      </c>
    </row>
    <row r="998" spans="1:5" x14ac:dyDescent="0.25">
      <c r="A998" s="12" t="s">
        <v>997</v>
      </c>
      <c r="B998" s="13">
        <v>46202</v>
      </c>
      <c r="C998" s="12" t="s">
        <v>1058</v>
      </c>
      <c r="D998" s="12">
        <v>703</v>
      </c>
      <c r="E998" s="12" t="s">
        <v>1194</v>
      </c>
    </row>
    <row r="999" spans="1:5" x14ac:dyDescent="0.25">
      <c r="A999" s="12" t="s">
        <v>998</v>
      </c>
      <c r="B999" s="13">
        <v>46203</v>
      </c>
      <c r="C999" s="12" t="s">
        <v>1053</v>
      </c>
      <c r="D999" s="12">
        <v>764</v>
      </c>
      <c r="E999" s="12" t="s">
        <v>1174</v>
      </c>
    </row>
    <row r="1000" spans="1:5" x14ac:dyDescent="0.25">
      <c r="A1000" s="12" t="s">
        <v>999</v>
      </c>
      <c r="B1000" s="13">
        <v>46203</v>
      </c>
      <c r="C1000" s="12" t="s">
        <v>1090</v>
      </c>
      <c r="D1000" s="12">
        <v>887</v>
      </c>
      <c r="E1000" s="12" t="s">
        <v>1170</v>
      </c>
    </row>
    <row r="1001" spans="1:5" x14ac:dyDescent="0.25">
      <c r="A1001" s="12" t="s">
        <v>1000</v>
      </c>
      <c r="B1001" s="12"/>
      <c r="C1001" s="12" t="s">
        <v>1027</v>
      </c>
      <c r="D1001" s="12">
        <v>473</v>
      </c>
      <c r="E1001" s="12" t="s">
        <v>1170</v>
      </c>
    </row>
  </sheetData>
  <sortState ref="A2:A1016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7286-5709-4A2E-A6C6-714E5094884E}">
  <dimension ref="A1:F41"/>
  <sheetViews>
    <sheetView workbookViewId="0">
      <selection activeCell="N11" sqref="N11"/>
    </sheetView>
  </sheetViews>
  <sheetFormatPr defaultRowHeight="15" x14ac:dyDescent="0.25"/>
  <cols>
    <col min="2" max="2" width="12.42578125" bestFit="1" customWidth="1"/>
    <col min="3" max="3" width="12.85546875" bestFit="1" customWidth="1"/>
    <col min="4" max="4" width="9.5703125" bestFit="1" customWidth="1"/>
    <col min="5" max="5" width="37.7109375" bestFit="1" customWidth="1"/>
    <col min="6" max="6" width="15.5703125" bestFit="1" customWidth="1"/>
  </cols>
  <sheetData>
    <row r="1" spans="1:6" x14ac:dyDescent="0.25">
      <c r="A1" s="1" t="s">
        <v>1023</v>
      </c>
      <c r="B1" s="1" t="s">
        <v>1109</v>
      </c>
      <c r="C1" s="1" t="s">
        <v>1110</v>
      </c>
      <c r="D1" s="1" t="s">
        <v>1111</v>
      </c>
      <c r="E1" s="1" t="s">
        <v>1112</v>
      </c>
      <c r="F1" s="1" t="s">
        <v>1113</v>
      </c>
    </row>
    <row r="2" spans="1:6" x14ac:dyDescent="0.25">
      <c r="A2" t="s">
        <v>1027</v>
      </c>
      <c r="B2">
        <v>245</v>
      </c>
      <c r="C2">
        <v>100</v>
      </c>
      <c r="D2">
        <v>500</v>
      </c>
      <c r="E2" t="s">
        <v>1114</v>
      </c>
      <c r="F2" s="6">
        <v>46183</v>
      </c>
    </row>
    <row r="3" spans="1:6" x14ac:dyDescent="0.25">
      <c r="A3" t="s">
        <v>1031</v>
      </c>
      <c r="B3">
        <v>180</v>
      </c>
      <c r="C3">
        <v>90</v>
      </c>
      <c r="D3">
        <v>400</v>
      </c>
      <c r="E3" t="s">
        <v>1115</v>
      </c>
      <c r="F3" s="6">
        <v>46188</v>
      </c>
    </row>
    <row r="4" spans="1:6" x14ac:dyDescent="0.25">
      <c r="A4" t="s">
        <v>1034</v>
      </c>
      <c r="B4">
        <v>320</v>
      </c>
      <c r="C4">
        <v>120</v>
      </c>
      <c r="D4">
        <v>600</v>
      </c>
      <c r="E4" t="s">
        <v>1116</v>
      </c>
      <c r="F4" s="6">
        <v>46178</v>
      </c>
    </row>
    <row r="5" spans="1:6" x14ac:dyDescent="0.25">
      <c r="A5" t="s">
        <v>1037</v>
      </c>
      <c r="B5">
        <v>150</v>
      </c>
      <c r="C5">
        <v>80</v>
      </c>
      <c r="D5">
        <v>350</v>
      </c>
      <c r="E5" t="s">
        <v>1117</v>
      </c>
      <c r="F5" s="6">
        <v>46191</v>
      </c>
    </row>
    <row r="6" spans="1:6" x14ac:dyDescent="0.25">
      <c r="A6" t="s">
        <v>1039</v>
      </c>
      <c r="B6">
        <v>275</v>
      </c>
      <c r="C6">
        <v>110</v>
      </c>
      <c r="D6">
        <v>550</v>
      </c>
      <c r="E6" t="s">
        <v>1118</v>
      </c>
      <c r="F6" s="6">
        <v>46185</v>
      </c>
    </row>
    <row r="7" spans="1:6" x14ac:dyDescent="0.25">
      <c r="A7" t="s">
        <v>1041</v>
      </c>
      <c r="B7">
        <v>190</v>
      </c>
      <c r="C7">
        <v>95</v>
      </c>
      <c r="D7">
        <v>420</v>
      </c>
      <c r="E7" t="s">
        <v>1119</v>
      </c>
      <c r="F7" s="6">
        <v>46193</v>
      </c>
    </row>
    <row r="8" spans="1:6" x14ac:dyDescent="0.25">
      <c r="A8" t="s">
        <v>1042</v>
      </c>
      <c r="B8">
        <v>360</v>
      </c>
      <c r="C8">
        <v>140</v>
      </c>
      <c r="D8">
        <v>700</v>
      </c>
      <c r="E8" t="s">
        <v>1120</v>
      </c>
      <c r="F8" s="6">
        <v>46181</v>
      </c>
    </row>
    <row r="9" spans="1:6" x14ac:dyDescent="0.25">
      <c r="A9" t="s">
        <v>1045</v>
      </c>
      <c r="B9">
        <v>220</v>
      </c>
      <c r="C9">
        <v>110</v>
      </c>
      <c r="D9">
        <v>500</v>
      </c>
      <c r="E9" t="s">
        <v>1121</v>
      </c>
      <c r="F9" s="6">
        <v>46187</v>
      </c>
    </row>
    <row r="10" spans="1:6" x14ac:dyDescent="0.25">
      <c r="A10" t="s">
        <v>1046</v>
      </c>
      <c r="B10">
        <v>300</v>
      </c>
      <c r="C10">
        <v>120</v>
      </c>
      <c r="D10">
        <v>650</v>
      </c>
      <c r="E10" t="s">
        <v>1122</v>
      </c>
      <c r="F10" s="6">
        <v>46182</v>
      </c>
    </row>
    <row r="11" spans="1:6" x14ac:dyDescent="0.25">
      <c r="A11" t="s">
        <v>1047</v>
      </c>
      <c r="B11">
        <v>160</v>
      </c>
      <c r="C11">
        <v>90</v>
      </c>
      <c r="D11">
        <v>380</v>
      </c>
      <c r="E11" t="s">
        <v>1123</v>
      </c>
      <c r="F11" s="6">
        <v>46195</v>
      </c>
    </row>
    <row r="12" spans="1:6" x14ac:dyDescent="0.25">
      <c r="A12" t="s">
        <v>1048</v>
      </c>
      <c r="B12">
        <v>340</v>
      </c>
      <c r="C12">
        <v>150</v>
      </c>
      <c r="D12">
        <v>720</v>
      </c>
      <c r="E12" t="s">
        <v>1124</v>
      </c>
      <c r="F12" s="6">
        <v>46180</v>
      </c>
    </row>
    <row r="13" spans="1:6" x14ac:dyDescent="0.25">
      <c r="A13" t="s">
        <v>1049</v>
      </c>
      <c r="B13">
        <v>480</v>
      </c>
      <c r="C13">
        <v>200</v>
      </c>
      <c r="D13">
        <v>900</v>
      </c>
      <c r="E13" t="s">
        <v>1125</v>
      </c>
      <c r="F13" s="6">
        <v>46174</v>
      </c>
    </row>
    <row r="14" spans="1:6" x14ac:dyDescent="0.25">
      <c r="A14" t="s">
        <v>1052</v>
      </c>
      <c r="B14">
        <v>510</v>
      </c>
      <c r="C14">
        <v>220</v>
      </c>
      <c r="D14">
        <v>950</v>
      </c>
      <c r="E14" t="s">
        <v>1126</v>
      </c>
      <c r="F14" s="6">
        <v>46176</v>
      </c>
    </row>
    <row r="15" spans="1:6" x14ac:dyDescent="0.25">
      <c r="A15" t="s">
        <v>1053</v>
      </c>
      <c r="B15">
        <v>420</v>
      </c>
      <c r="C15">
        <v>180</v>
      </c>
      <c r="D15">
        <v>800</v>
      </c>
      <c r="E15" t="s">
        <v>1127</v>
      </c>
      <c r="F15" s="6">
        <v>46184</v>
      </c>
    </row>
    <row r="16" spans="1:6" x14ac:dyDescent="0.25">
      <c r="A16" t="s">
        <v>1055</v>
      </c>
      <c r="B16">
        <v>260</v>
      </c>
      <c r="C16">
        <v>110</v>
      </c>
      <c r="D16">
        <v>500</v>
      </c>
      <c r="E16" t="s">
        <v>1128</v>
      </c>
      <c r="F16" s="6">
        <v>46189</v>
      </c>
    </row>
    <row r="17" spans="1:6" x14ac:dyDescent="0.25">
      <c r="A17" t="s">
        <v>1058</v>
      </c>
      <c r="B17">
        <v>310</v>
      </c>
      <c r="C17">
        <v>130</v>
      </c>
      <c r="D17">
        <v>600</v>
      </c>
      <c r="E17" t="s">
        <v>1129</v>
      </c>
      <c r="F17" s="6">
        <v>46192</v>
      </c>
    </row>
    <row r="18" spans="1:6" x14ac:dyDescent="0.25">
      <c r="A18" t="s">
        <v>1061</v>
      </c>
      <c r="B18">
        <v>140</v>
      </c>
      <c r="C18">
        <v>80</v>
      </c>
      <c r="D18">
        <v>350</v>
      </c>
      <c r="E18" t="s">
        <v>1130</v>
      </c>
      <c r="F18" s="6">
        <v>46186</v>
      </c>
    </row>
    <row r="19" spans="1:6" x14ac:dyDescent="0.25">
      <c r="A19" t="s">
        <v>1063</v>
      </c>
      <c r="B19">
        <v>290</v>
      </c>
      <c r="C19">
        <v>120</v>
      </c>
      <c r="D19">
        <v>600</v>
      </c>
      <c r="E19" t="s">
        <v>1116</v>
      </c>
      <c r="F19" s="6">
        <v>46190</v>
      </c>
    </row>
    <row r="20" spans="1:6" x14ac:dyDescent="0.25">
      <c r="A20" t="s">
        <v>1064</v>
      </c>
      <c r="B20">
        <v>330</v>
      </c>
      <c r="C20">
        <v>150</v>
      </c>
      <c r="D20">
        <v>700</v>
      </c>
      <c r="E20" t="s">
        <v>1131</v>
      </c>
      <c r="F20" s="6">
        <v>46179</v>
      </c>
    </row>
    <row r="21" spans="1:6" x14ac:dyDescent="0.25">
      <c r="A21" t="s">
        <v>1066</v>
      </c>
      <c r="B21">
        <v>240</v>
      </c>
      <c r="C21">
        <v>110</v>
      </c>
      <c r="D21">
        <v>500</v>
      </c>
      <c r="E21" t="s">
        <v>1132</v>
      </c>
      <c r="F21" s="6">
        <v>46194</v>
      </c>
    </row>
    <row r="22" spans="1:6" x14ac:dyDescent="0.25">
      <c r="A22" t="s">
        <v>1068</v>
      </c>
      <c r="B22">
        <v>170</v>
      </c>
      <c r="C22">
        <v>90</v>
      </c>
      <c r="D22">
        <v>400</v>
      </c>
      <c r="E22" t="s">
        <v>1114</v>
      </c>
      <c r="F22" s="6">
        <v>46177</v>
      </c>
    </row>
    <row r="23" spans="1:6" x14ac:dyDescent="0.25">
      <c r="A23" t="s">
        <v>1069</v>
      </c>
      <c r="B23">
        <v>310</v>
      </c>
      <c r="C23">
        <v>140</v>
      </c>
      <c r="D23">
        <v>650</v>
      </c>
      <c r="E23" t="s">
        <v>1115</v>
      </c>
      <c r="F23" s="6">
        <v>46196</v>
      </c>
    </row>
    <row r="24" spans="1:6" x14ac:dyDescent="0.25">
      <c r="A24" t="s">
        <v>1070</v>
      </c>
      <c r="B24">
        <v>120</v>
      </c>
      <c r="C24">
        <v>70</v>
      </c>
      <c r="D24">
        <v>300</v>
      </c>
      <c r="E24" t="s">
        <v>1116</v>
      </c>
      <c r="F24" s="6">
        <v>46175</v>
      </c>
    </row>
    <row r="25" spans="1:6" x14ac:dyDescent="0.25">
      <c r="A25" t="s">
        <v>1073</v>
      </c>
      <c r="B25">
        <v>350</v>
      </c>
      <c r="C25">
        <v>150</v>
      </c>
      <c r="D25">
        <v>750</v>
      </c>
      <c r="E25" t="s">
        <v>1117</v>
      </c>
      <c r="F25" s="6">
        <v>46182</v>
      </c>
    </row>
    <row r="26" spans="1:6" x14ac:dyDescent="0.25">
      <c r="A26" t="s">
        <v>1075</v>
      </c>
      <c r="B26">
        <v>370</v>
      </c>
      <c r="C26">
        <v>160</v>
      </c>
      <c r="D26">
        <v>800</v>
      </c>
      <c r="E26" t="s">
        <v>1118</v>
      </c>
      <c r="F26" s="6">
        <v>46183</v>
      </c>
    </row>
    <row r="27" spans="1:6" x14ac:dyDescent="0.25">
      <c r="A27" t="s">
        <v>1078</v>
      </c>
      <c r="B27">
        <v>210</v>
      </c>
      <c r="C27">
        <v>100</v>
      </c>
      <c r="D27">
        <v>450</v>
      </c>
      <c r="E27" t="s">
        <v>1119</v>
      </c>
      <c r="F27" s="6">
        <v>46185</v>
      </c>
    </row>
    <row r="28" spans="1:6" x14ac:dyDescent="0.25">
      <c r="A28" t="s">
        <v>1080</v>
      </c>
      <c r="B28">
        <v>450</v>
      </c>
      <c r="C28">
        <v>200</v>
      </c>
      <c r="D28">
        <v>900</v>
      </c>
      <c r="E28" t="s">
        <v>1120</v>
      </c>
      <c r="F28" s="6">
        <v>46188</v>
      </c>
    </row>
    <row r="29" spans="1:6" x14ac:dyDescent="0.25">
      <c r="A29" t="s">
        <v>1082</v>
      </c>
      <c r="B29">
        <v>300</v>
      </c>
      <c r="C29">
        <v>130</v>
      </c>
      <c r="D29">
        <v>600</v>
      </c>
      <c r="E29" t="s">
        <v>1121</v>
      </c>
      <c r="F29" s="6">
        <v>46181</v>
      </c>
    </row>
    <row r="30" spans="1:6" x14ac:dyDescent="0.25">
      <c r="A30" t="s">
        <v>1084</v>
      </c>
      <c r="B30">
        <v>250</v>
      </c>
      <c r="C30">
        <v>110</v>
      </c>
      <c r="D30">
        <v>500</v>
      </c>
      <c r="E30" t="s">
        <v>1122</v>
      </c>
      <c r="F30" s="6">
        <v>46192</v>
      </c>
    </row>
    <row r="31" spans="1:6" x14ac:dyDescent="0.25">
      <c r="A31" t="s">
        <v>1086</v>
      </c>
      <c r="B31">
        <v>280</v>
      </c>
      <c r="C31">
        <v>120</v>
      </c>
      <c r="D31">
        <v>550</v>
      </c>
      <c r="E31" t="s">
        <v>1123</v>
      </c>
      <c r="F31" s="6">
        <v>46187</v>
      </c>
    </row>
    <row r="32" spans="1:6" x14ac:dyDescent="0.25">
      <c r="A32" t="s">
        <v>1088</v>
      </c>
      <c r="B32">
        <v>260</v>
      </c>
      <c r="C32">
        <v>110</v>
      </c>
      <c r="D32">
        <v>520</v>
      </c>
      <c r="E32" t="s">
        <v>1124</v>
      </c>
      <c r="F32" s="6">
        <v>46180</v>
      </c>
    </row>
    <row r="33" spans="1:6" x14ac:dyDescent="0.25">
      <c r="A33" t="s">
        <v>1090</v>
      </c>
      <c r="B33">
        <v>290</v>
      </c>
      <c r="C33">
        <v>130</v>
      </c>
      <c r="D33">
        <v>600</v>
      </c>
      <c r="E33" t="s">
        <v>1125</v>
      </c>
      <c r="F33" s="6">
        <v>46191</v>
      </c>
    </row>
    <row r="34" spans="1:6" x14ac:dyDescent="0.25">
      <c r="A34" t="s">
        <v>1092</v>
      </c>
      <c r="B34">
        <v>230</v>
      </c>
      <c r="C34">
        <v>100</v>
      </c>
      <c r="D34">
        <v>480</v>
      </c>
      <c r="E34" t="s">
        <v>1126</v>
      </c>
      <c r="F34" s="6">
        <v>46184</v>
      </c>
    </row>
    <row r="35" spans="1:6" x14ac:dyDescent="0.25">
      <c r="A35" t="s">
        <v>1093</v>
      </c>
      <c r="B35">
        <v>340</v>
      </c>
      <c r="C35">
        <v>150</v>
      </c>
      <c r="D35">
        <v>700</v>
      </c>
      <c r="E35" t="s">
        <v>1127</v>
      </c>
      <c r="F35" s="6">
        <v>46189</v>
      </c>
    </row>
    <row r="36" spans="1:6" x14ac:dyDescent="0.25">
      <c r="A36" t="s">
        <v>1095</v>
      </c>
      <c r="B36">
        <v>180</v>
      </c>
      <c r="C36">
        <v>90</v>
      </c>
      <c r="D36">
        <v>400</v>
      </c>
      <c r="E36" t="s">
        <v>1128</v>
      </c>
      <c r="F36" s="6">
        <v>46193</v>
      </c>
    </row>
    <row r="37" spans="1:6" x14ac:dyDescent="0.25">
      <c r="A37" t="s">
        <v>1096</v>
      </c>
      <c r="B37">
        <v>270</v>
      </c>
      <c r="C37">
        <v>120</v>
      </c>
      <c r="D37">
        <v>550</v>
      </c>
      <c r="E37" t="s">
        <v>1129</v>
      </c>
      <c r="F37" s="6">
        <v>46186</v>
      </c>
    </row>
    <row r="38" spans="1:6" x14ac:dyDescent="0.25">
      <c r="A38" t="s">
        <v>1098</v>
      </c>
      <c r="B38">
        <v>500</v>
      </c>
      <c r="C38">
        <v>220</v>
      </c>
      <c r="D38">
        <v>1000</v>
      </c>
      <c r="E38" t="s">
        <v>1130</v>
      </c>
      <c r="F38" s="6">
        <v>46178</v>
      </c>
    </row>
    <row r="39" spans="1:6" x14ac:dyDescent="0.25">
      <c r="A39" t="s">
        <v>1101</v>
      </c>
      <c r="B39">
        <v>420</v>
      </c>
      <c r="C39">
        <v>200</v>
      </c>
      <c r="D39">
        <v>900</v>
      </c>
      <c r="E39" t="s">
        <v>1116</v>
      </c>
      <c r="F39" s="6">
        <v>46182</v>
      </c>
    </row>
    <row r="40" spans="1:6" x14ac:dyDescent="0.25">
      <c r="A40" t="s">
        <v>1103</v>
      </c>
      <c r="B40">
        <v>360</v>
      </c>
      <c r="C40">
        <v>180</v>
      </c>
      <c r="D40">
        <v>800</v>
      </c>
      <c r="E40" t="s">
        <v>1131</v>
      </c>
      <c r="F40" s="6">
        <v>46190</v>
      </c>
    </row>
    <row r="41" spans="1:6" x14ac:dyDescent="0.25">
      <c r="A41" t="s">
        <v>1105</v>
      </c>
      <c r="B41">
        <v>480</v>
      </c>
      <c r="C41">
        <v>210</v>
      </c>
      <c r="D41">
        <v>950</v>
      </c>
      <c r="E41" t="s">
        <v>1132</v>
      </c>
      <c r="F41" s="6">
        <v>46194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20A2-E01B-4E26-9571-9E311341FFE4}">
  <dimension ref="A1:E41"/>
  <sheetViews>
    <sheetView workbookViewId="0">
      <selection activeCell="I6" sqref="I6"/>
    </sheetView>
  </sheetViews>
  <sheetFormatPr defaultRowHeight="15" x14ac:dyDescent="0.25"/>
  <cols>
    <col min="1" max="1" width="10.85546875" bestFit="1" customWidth="1"/>
    <col min="2" max="2" width="9.7109375" bestFit="1" customWidth="1"/>
    <col min="3" max="3" width="10.28515625" bestFit="1" customWidth="1"/>
    <col min="4" max="4" width="16.28515625" bestFit="1" customWidth="1"/>
    <col min="5" max="5" width="13.85546875" bestFit="1" customWidth="1"/>
  </cols>
  <sheetData>
    <row r="1" spans="1:5" x14ac:dyDescent="0.25">
      <c r="A1" s="4" t="s">
        <v>1236</v>
      </c>
      <c r="B1" s="4" t="s">
        <v>1023</v>
      </c>
      <c r="C1" s="4" t="s">
        <v>1237</v>
      </c>
      <c r="D1" s="8" t="s">
        <v>1238</v>
      </c>
      <c r="E1" s="8" t="s">
        <v>1239</v>
      </c>
    </row>
    <row r="2" spans="1:5" x14ac:dyDescent="0.25">
      <c r="A2" s="5" t="s">
        <v>1232</v>
      </c>
      <c r="B2" s="5" t="s">
        <v>1027</v>
      </c>
      <c r="C2" s="9">
        <v>46027</v>
      </c>
      <c r="D2" s="7">
        <v>250</v>
      </c>
      <c r="E2" s="7">
        <v>7</v>
      </c>
    </row>
    <row r="3" spans="1:5" x14ac:dyDescent="0.25">
      <c r="A3" s="5" t="s">
        <v>1233</v>
      </c>
      <c r="B3" s="5" t="s">
        <v>1031</v>
      </c>
      <c r="C3" s="9">
        <v>46030</v>
      </c>
      <c r="D3" s="7">
        <v>180</v>
      </c>
      <c r="E3" s="7">
        <v>5</v>
      </c>
    </row>
    <row r="4" spans="1:5" x14ac:dyDescent="0.25">
      <c r="A4" s="5" t="s">
        <v>1234</v>
      </c>
      <c r="B4" s="5" t="s">
        <v>1034</v>
      </c>
      <c r="C4" s="9">
        <v>46032</v>
      </c>
      <c r="D4" s="7">
        <v>300</v>
      </c>
      <c r="E4" s="7">
        <v>6</v>
      </c>
    </row>
    <row r="5" spans="1:5" x14ac:dyDescent="0.25">
      <c r="A5" s="5" t="s">
        <v>1235</v>
      </c>
      <c r="B5" s="5" t="s">
        <v>1037</v>
      </c>
      <c r="C5" s="9">
        <v>46034</v>
      </c>
      <c r="D5" s="7">
        <v>220</v>
      </c>
      <c r="E5" s="7">
        <v>7</v>
      </c>
    </row>
    <row r="6" spans="1:5" x14ac:dyDescent="0.25">
      <c r="A6" s="5" t="s">
        <v>1240</v>
      </c>
      <c r="B6" s="5" t="s">
        <v>1039</v>
      </c>
      <c r="C6" s="9">
        <v>46037</v>
      </c>
      <c r="D6" s="7">
        <v>275</v>
      </c>
      <c r="E6" s="7">
        <v>6</v>
      </c>
    </row>
    <row r="7" spans="1:5" x14ac:dyDescent="0.25">
      <c r="A7" s="5" t="s">
        <v>1241</v>
      </c>
      <c r="B7" s="5" t="s">
        <v>1041</v>
      </c>
      <c r="C7" s="9">
        <v>46040</v>
      </c>
      <c r="D7" s="7">
        <v>190</v>
      </c>
      <c r="E7" s="7">
        <v>5</v>
      </c>
    </row>
    <row r="8" spans="1:5" x14ac:dyDescent="0.25">
      <c r="A8" s="5" t="s">
        <v>1242</v>
      </c>
      <c r="B8" s="5" t="s">
        <v>1042</v>
      </c>
      <c r="C8" s="9">
        <v>46042</v>
      </c>
      <c r="D8" s="7">
        <v>350</v>
      </c>
      <c r="E8" s="7">
        <v>8</v>
      </c>
    </row>
    <row r="9" spans="1:5" x14ac:dyDescent="0.25">
      <c r="A9" s="5" t="s">
        <v>1243</v>
      </c>
      <c r="B9" s="5" t="s">
        <v>1045</v>
      </c>
      <c r="C9" s="9">
        <v>46044</v>
      </c>
      <c r="D9" s="7">
        <v>240</v>
      </c>
      <c r="E9" s="7">
        <v>6</v>
      </c>
    </row>
    <row r="10" spans="1:5" x14ac:dyDescent="0.25">
      <c r="A10" s="5" t="s">
        <v>1244</v>
      </c>
      <c r="B10" s="5" t="s">
        <v>1046</v>
      </c>
      <c r="C10" s="9">
        <v>46047</v>
      </c>
      <c r="D10" s="7">
        <v>280</v>
      </c>
      <c r="E10" s="7">
        <v>7</v>
      </c>
    </row>
    <row r="11" spans="1:5" x14ac:dyDescent="0.25">
      <c r="A11" s="5" t="s">
        <v>1245</v>
      </c>
      <c r="B11" s="5" t="s">
        <v>1047</v>
      </c>
      <c r="C11" s="9">
        <v>46050</v>
      </c>
      <c r="D11" s="7">
        <v>200</v>
      </c>
      <c r="E11" s="7">
        <v>5</v>
      </c>
    </row>
    <row r="12" spans="1:5" x14ac:dyDescent="0.25">
      <c r="A12" s="5" t="s">
        <v>1246</v>
      </c>
      <c r="B12" s="5" t="s">
        <v>1048</v>
      </c>
      <c r="C12" s="9">
        <v>46055</v>
      </c>
      <c r="D12" s="7">
        <v>260</v>
      </c>
      <c r="E12" s="7">
        <v>6</v>
      </c>
    </row>
    <row r="13" spans="1:5" x14ac:dyDescent="0.25">
      <c r="A13" s="5" t="s">
        <v>1247</v>
      </c>
      <c r="B13" s="5" t="s">
        <v>1049</v>
      </c>
      <c r="C13" s="9">
        <v>46058</v>
      </c>
      <c r="D13" s="7">
        <v>320</v>
      </c>
      <c r="E13" s="7">
        <v>8</v>
      </c>
    </row>
    <row r="14" spans="1:5" x14ac:dyDescent="0.25">
      <c r="A14" s="5" t="s">
        <v>1248</v>
      </c>
      <c r="B14" s="5" t="s">
        <v>1052</v>
      </c>
      <c r="C14" s="9">
        <v>46061</v>
      </c>
      <c r="D14" s="7">
        <v>300</v>
      </c>
      <c r="E14" s="7">
        <v>7</v>
      </c>
    </row>
    <row r="15" spans="1:5" x14ac:dyDescent="0.25">
      <c r="A15" s="5" t="s">
        <v>1249</v>
      </c>
      <c r="B15" s="5" t="s">
        <v>1053</v>
      </c>
      <c r="C15" s="9">
        <v>46063</v>
      </c>
      <c r="D15" s="7">
        <v>180</v>
      </c>
      <c r="E15" s="7">
        <v>6</v>
      </c>
    </row>
    <row r="16" spans="1:5" x14ac:dyDescent="0.25">
      <c r="A16" s="5" t="s">
        <v>1250</v>
      </c>
      <c r="B16" s="5" t="s">
        <v>1055</v>
      </c>
      <c r="C16" s="9">
        <v>46066</v>
      </c>
      <c r="D16" s="7">
        <v>160</v>
      </c>
      <c r="E16" s="7">
        <v>9</v>
      </c>
    </row>
    <row r="17" spans="1:5" x14ac:dyDescent="0.25">
      <c r="A17" s="5" t="s">
        <v>1251</v>
      </c>
      <c r="B17" s="5" t="s">
        <v>1058</v>
      </c>
      <c r="C17" s="9">
        <v>46069</v>
      </c>
      <c r="D17" s="7">
        <v>175</v>
      </c>
      <c r="E17" s="7">
        <v>8</v>
      </c>
    </row>
    <row r="18" spans="1:5" x14ac:dyDescent="0.25">
      <c r="A18" s="5" t="s">
        <v>1252</v>
      </c>
      <c r="B18" s="5" t="s">
        <v>1061</v>
      </c>
      <c r="C18" s="9">
        <v>46071</v>
      </c>
      <c r="D18" s="7">
        <v>250</v>
      </c>
      <c r="E18" s="7">
        <v>7</v>
      </c>
    </row>
    <row r="19" spans="1:5" x14ac:dyDescent="0.25">
      <c r="A19" s="5" t="s">
        <v>1253</v>
      </c>
      <c r="B19" s="5" t="s">
        <v>1063</v>
      </c>
      <c r="C19" s="9">
        <v>46073</v>
      </c>
      <c r="D19" s="7">
        <v>220</v>
      </c>
      <c r="E19" s="7">
        <v>5</v>
      </c>
    </row>
    <row r="20" spans="1:5" x14ac:dyDescent="0.25">
      <c r="A20" s="5" t="s">
        <v>1254</v>
      </c>
      <c r="B20" s="5" t="s">
        <v>1064</v>
      </c>
      <c r="C20" s="9">
        <v>46076</v>
      </c>
      <c r="D20" s="7">
        <v>280</v>
      </c>
      <c r="E20" s="7">
        <v>6</v>
      </c>
    </row>
    <row r="21" spans="1:5" x14ac:dyDescent="0.25">
      <c r="A21" s="5" t="s">
        <v>1255</v>
      </c>
      <c r="B21" s="5" t="s">
        <v>1066</v>
      </c>
      <c r="C21" s="9">
        <v>46079</v>
      </c>
      <c r="D21" s="7">
        <v>240</v>
      </c>
      <c r="E21" s="7">
        <v>6</v>
      </c>
    </row>
    <row r="22" spans="1:5" x14ac:dyDescent="0.25">
      <c r="A22" s="5" t="s">
        <v>1256</v>
      </c>
      <c r="B22" s="5" t="s">
        <v>1068</v>
      </c>
      <c r="C22" s="9">
        <v>46083</v>
      </c>
      <c r="D22" s="7">
        <v>190</v>
      </c>
      <c r="E22" s="7">
        <v>7</v>
      </c>
    </row>
    <row r="23" spans="1:5" x14ac:dyDescent="0.25">
      <c r="A23" s="5" t="s">
        <v>1257</v>
      </c>
      <c r="B23" s="5" t="s">
        <v>1069</v>
      </c>
      <c r="C23" s="9">
        <v>46086</v>
      </c>
      <c r="D23" s="7">
        <v>200</v>
      </c>
      <c r="E23" s="7">
        <v>5</v>
      </c>
    </row>
    <row r="24" spans="1:5" x14ac:dyDescent="0.25">
      <c r="A24" s="5" t="s">
        <v>1258</v>
      </c>
      <c r="B24" s="5" t="s">
        <v>1070</v>
      </c>
      <c r="C24" s="9">
        <v>46089</v>
      </c>
      <c r="D24" s="7">
        <v>160</v>
      </c>
      <c r="E24" s="7">
        <v>8</v>
      </c>
    </row>
    <row r="25" spans="1:5" x14ac:dyDescent="0.25">
      <c r="A25" s="5" t="s">
        <v>1259</v>
      </c>
      <c r="B25" s="5" t="s">
        <v>1073</v>
      </c>
      <c r="C25" s="9">
        <v>46091</v>
      </c>
      <c r="D25" s="7">
        <v>170</v>
      </c>
      <c r="E25" s="7">
        <v>7</v>
      </c>
    </row>
    <row r="26" spans="1:5" x14ac:dyDescent="0.25">
      <c r="A26" s="5" t="s">
        <v>1260</v>
      </c>
      <c r="B26" s="5" t="s">
        <v>1075</v>
      </c>
      <c r="C26" s="9">
        <v>46094</v>
      </c>
      <c r="D26" s="7">
        <v>220</v>
      </c>
      <c r="E26" s="7">
        <v>6</v>
      </c>
    </row>
    <row r="27" spans="1:5" x14ac:dyDescent="0.25">
      <c r="A27" s="5" t="s">
        <v>1261</v>
      </c>
      <c r="B27" s="5" t="s">
        <v>1078</v>
      </c>
      <c r="C27" s="9">
        <v>46097</v>
      </c>
      <c r="D27" s="7">
        <v>180</v>
      </c>
      <c r="E27" s="7">
        <v>7</v>
      </c>
    </row>
    <row r="28" spans="1:5" x14ac:dyDescent="0.25">
      <c r="A28" s="5" t="s">
        <v>1262</v>
      </c>
      <c r="B28" s="5" t="s">
        <v>1080</v>
      </c>
      <c r="C28" s="9">
        <v>46099</v>
      </c>
      <c r="D28" s="7">
        <v>250</v>
      </c>
      <c r="E28" s="7">
        <v>5</v>
      </c>
    </row>
    <row r="29" spans="1:5" x14ac:dyDescent="0.25">
      <c r="A29" s="5" t="s">
        <v>1263</v>
      </c>
      <c r="B29" s="5" t="s">
        <v>1082</v>
      </c>
      <c r="C29" s="9">
        <v>46101</v>
      </c>
      <c r="D29" s="7">
        <v>170</v>
      </c>
      <c r="E29" s="7">
        <v>8</v>
      </c>
    </row>
    <row r="30" spans="1:5" x14ac:dyDescent="0.25">
      <c r="A30" s="5" t="s">
        <v>1264</v>
      </c>
      <c r="B30" s="5" t="s">
        <v>1084</v>
      </c>
      <c r="C30" s="9">
        <v>46104</v>
      </c>
      <c r="D30" s="7">
        <v>200</v>
      </c>
      <c r="E30" s="7">
        <v>5</v>
      </c>
    </row>
    <row r="31" spans="1:5" x14ac:dyDescent="0.25">
      <c r="A31" s="5" t="s">
        <v>1265</v>
      </c>
      <c r="B31" s="5" t="s">
        <v>1086</v>
      </c>
      <c r="C31" s="9">
        <v>46107</v>
      </c>
      <c r="D31" s="7">
        <v>210</v>
      </c>
      <c r="E31" s="7">
        <v>5</v>
      </c>
    </row>
    <row r="32" spans="1:5" x14ac:dyDescent="0.25">
      <c r="A32" s="5" t="s">
        <v>1266</v>
      </c>
      <c r="B32" s="5" t="s">
        <v>1088</v>
      </c>
      <c r="C32" s="9">
        <v>46109</v>
      </c>
      <c r="D32" s="7">
        <v>190</v>
      </c>
      <c r="E32" s="7">
        <v>7</v>
      </c>
    </row>
    <row r="33" spans="1:5" x14ac:dyDescent="0.25">
      <c r="A33" s="5" t="s">
        <v>1267</v>
      </c>
      <c r="B33" s="5" t="s">
        <v>1090</v>
      </c>
      <c r="C33" s="9">
        <v>46114</v>
      </c>
      <c r="D33" s="7">
        <v>180</v>
      </c>
      <c r="E33" s="7">
        <v>8</v>
      </c>
    </row>
    <row r="34" spans="1:5" x14ac:dyDescent="0.25">
      <c r="A34" s="5" t="s">
        <v>1268</v>
      </c>
      <c r="B34" s="5" t="s">
        <v>1092</v>
      </c>
      <c r="C34" s="9">
        <v>46117</v>
      </c>
      <c r="D34" s="7">
        <v>160</v>
      </c>
      <c r="E34" s="7">
        <v>7</v>
      </c>
    </row>
    <row r="35" spans="1:5" x14ac:dyDescent="0.25">
      <c r="A35" s="5" t="s">
        <v>1269</v>
      </c>
      <c r="B35" s="5" t="s">
        <v>1093</v>
      </c>
      <c r="C35" s="9">
        <v>46120</v>
      </c>
      <c r="D35" s="7">
        <v>150</v>
      </c>
      <c r="E35" s="7">
        <v>7</v>
      </c>
    </row>
    <row r="36" spans="1:5" x14ac:dyDescent="0.25">
      <c r="A36" s="5" t="s">
        <v>1270</v>
      </c>
      <c r="B36" s="5" t="s">
        <v>1095</v>
      </c>
      <c r="C36" s="9">
        <v>46122</v>
      </c>
      <c r="D36" s="7">
        <v>140</v>
      </c>
      <c r="E36" s="7">
        <v>8</v>
      </c>
    </row>
    <row r="37" spans="1:5" x14ac:dyDescent="0.25">
      <c r="A37" s="5" t="s">
        <v>1271</v>
      </c>
      <c r="B37" s="5" t="s">
        <v>1096</v>
      </c>
      <c r="C37" s="9">
        <v>46125</v>
      </c>
      <c r="D37" s="7">
        <v>145</v>
      </c>
      <c r="E37" s="7">
        <v>7</v>
      </c>
    </row>
    <row r="38" spans="1:5" x14ac:dyDescent="0.25">
      <c r="A38" s="5" t="s">
        <v>1272</v>
      </c>
      <c r="B38" s="5" t="s">
        <v>1098</v>
      </c>
      <c r="C38" s="9">
        <v>46128</v>
      </c>
      <c r="D38" s="7">
        <v>350</v>
      </c>
      <c r="E38" s="7">
        <v>6</v>
      </c>
    </row>
    <row r="39" spans="1:5" x14ac:dyDescent="0.25">
      <c r="A39" s="5" t="s">
        <v>1273</v>
      </c>
      <c r="B39" s="5" t="s">
        <v>1101</v>
      </c>
      <c r="C39" s="9">
        <v>46130</v>
      </c>
      <c r="D39" s="7">
        <v>320</v>
      </c>
      <c r="E39" s="7">
        <v>6</v>
      </c>
    </row>
    <row r="40" spans="1:5" x14ac:dyDescent="0.25">
      <c r="A40" s="5" t="s">
        <v>1274</v>
      </c>
      <c r="B40" s="5" t="s">
        <v>1103</v>
      </c>
      <c r="C40" s="9">
        <v>46133</v>
      </c>
      <c r="D40" s="7">
        <v>280</v>
      </c>
      <c r="E40" s="7">
        <v>7</v>
      </c>
    </row>
    <row r="41" spans="1:5" x14ac:dyDescent="0.25">
      <c r="A41" s="5" t="s">
        <v>1275</v>
      </c>
      <c r="B41" s="5" t="s">
        <v>1105</v>
      </c>
      <c r="C41" s="9">
        <v>46137</v>
      </c>
      <c r="D41" s="7">
        <v>300</v>
      </c>
      <c r="E41" s="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DON'T COPY</vt:lpstr>
      <vt:lpstr>PRODUCTS</vt:lpstr>
      <vt:lpstr>SALES</vt:lpstr>
      <vt:lpstr>INVENTORY</vt:lpstr>
      <vt:lpstr>PURCHASE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</dc:creator>
  <cp:lastModifiedBy>Ayush</cp:lastModifiedBy>
  <dcterms:created xsi:type="dcterms:W3CDTF">2026-07-02T14:18:07Z</dcterms:created>
  <dcterms:modified xsi:type="dcterms:W3CDTF">2026-07-02T17:53:42Z</dcterms:modified>
</cp:coreProperties>
</file>